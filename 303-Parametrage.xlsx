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811HP\Desktop\303\BASE\PARAMETRAGE\"/>
    </mc:Choice>
  </mc:AlternateContent>
  <xr:revisionPtr revIDLastSave="0" documentId="13_ncr:1_{92BB7163-2322-4F4F-8638-566F60916DBE}" xr6:coauthVersionLast="47" xr6:coauthVersionMax="47" xr10:uidLastSave="{00000000-0000-0000-0000-000000000000}"/>
  <bookViews>
    <workbookView xWindow="-51720" yWindow="-2205" windowWidth="51840" windowHeight="21120" activeTab="4" xr2:uid="{1F22F08E-1F8D-403E-8634-A96CF4F4784B}"/>
  </bookViews>
  <sheets>
    <sheet name="FICHIER_SOURCE" sheetId="11" r:id="rId1"/>
    <sheet name="CALENDRIER" sheetId="17" r:id="rId2"/>
    <sheet name="CHAMP_VALIDE" sheetId="12" r:id="rId3"/>
    <sheet name="TRANSCO_CR" sheetId="15" r:id="rId4"/>
    <sheet name="ENTETE_REPORTING" sheetId="8" r:id="rId5"/>
    <sheet name="Feuil1" sheetId="18" r:id="rId6"/>
    <sheet name="Feuil2" sheetId="19" r:id="rId7"/>
    <sheet name="Feuil3" sheetId="20" r:id="rId8"/>
  </sheets>
  <definedNames>
    <definedName name="_xlnm._FilterDatabase" localSheetId="2" hidden="1">CHAMP_VALIDE!$A$2:$S$132</definedName>
    <definedName name="_xlnm._FilterDatabase" localSheetId="4" hidden="1">ENTETE_REPORTING!$A$1:$K$861</definedName>
    <definedName name="_xlnm._FilterDatabase" localSheetId="0" hidden="1">FICHIER_SOURCE!$C$1:$C$36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8" l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H19" i="19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18" i="19"/>
  <c r="R9" i="18"/>
  <c r="R10" i="18" s="1"/>
  <c r="R11" i="18" s="1"/>
  <c r="R12" i="18" s="1"/>
  <c r="R13" i="18" s="1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R44" i="18" s="1"/>
  <c r="R45" i="18" s="1"/>
  <c r="R46" i="18" s="1"/>
  <c r="R47" i="18" s="1"/>
  <c r="R48" i="18" s="1"/>
  <c r="R49" i="18" s="1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7" i="18"/>
  <c r="R8" i="18" s="1"/>
  <c r="A3" i="8"/>
  <c r="B1" i="12"/>
</calcChain>
</file>

<file path=xl/sharedStrings.xml><?xml version="1.0" encoding="utf-8"?>
<sst xmlns="http://schemas.openxmlformats.org/spreadsheetml/2006/main" count="7658" uniqueCount="1347">
  <si>
    <t xml:space="preserve">A.1.1. </t>
  </si>
  <si>
    <t>A.1.1.1.</t>
  </si>
  <si>
    <t xml:space="preserve">A.1.2. </t>
  </si>
  <si>
    <t xml:space="preserve">A.1.3. </t>
  </si>
  <si>
    <t xml:space="preserve">A.1.4. </t>
  </si>
  <si>
    <t xml:space="preserve">A.1.5. </t>
  </si>
  <si>
    <t xml:space="preserve">A.1.6. </t>
  </si>
  <si>
    <t xml:space="preserve">A.1.7. </t>
  </si>
  <si>
    <t xml:space="preserve">A.1.8. </t>
  </si>
  <si>
    <t xml:space="preserve">A.1.9. </t>
  </si>
  <si>
    <t xml:space="preserve">A.1.10. </t>
  </si>
  <si>
    <t xml:space="preserve">A.1.11. </t>
  </si>
  <si>
    <t>A.1.12</t>
  </si>
  <si>
    <t>A.1.13</t>
  </si>
  <si>
    <t>A.1.14</t>
  </si>
  <si>
    <t>A.1.15</t>
  </si>
  <si>
    <t>Fiscal number (SIREN)</t>
  </si>
  <si>
    <t>SIRET</t>
  </si>
  <si>
    <t>Beneficary Name</t>
  </si>
  <si>
    <t>Adress</t>
  </si>
  <si>
    <t>Postal Code</t>
  </si>
  <si>
    <t>Place</t>
  </si>
  <si>
    <t>Region (NUTS Code)</t>
  </si>
  <si>
    <t>Country</t>
  </si>
  <si>
    <t>Date of establishement</t>
  </si>
  <si>
    <t>Sector (NACE Code)</t>
  </si>
  <si>
    <t>Is the final recipient part of a group</t>
  </si>
  <si>
    <t>Land Size</t>
  </si>
  <si>
    <t>Young farmer (Y/N)</t>
  </si>
  <si>
    <t>Comments</t>
  </si>
  <si>
    <t>Mandatory</t>
  </si>
  <si>
    <t>Optional</t>
  </si>
  <si>
    <t>A.1.1.</t>
  </si>
  <si>
    <t>A.2.1.</t>
  </si>
  <si>
    <t>A.2.1.1.</t>
  </si>
  <si>
    <t>A.2.2.</t>
  </si>
  <si>
    <t>A.2.3.</t>
  </si>
  <si>
    <t>A.2.3.1.</t>
  </si>
  <si>
    <t>A.2.4.</t>
  </si>
  <si>
    <t>A.2.4.1</t>
  </si>
  <si>
    <t>A.2.5.</t>
  </si>
  <si>
    <t>A.2.5.1.</t>
  </si>
  <si>
    <t>A.2.6.</t>
  </si>
  <si>
    <t>A.2.6.1.</t>
  </si>
  <si>
    <t>A.2.7.</t>
  </si>
  <si>
    <t>A.2.8.</t>
  </si>
  <si>
    <t>A.2.8.1.</t>
  </si>
  <si>
    <t>A.2.9.</t>
  </si>
  <si>
    <t>A.2.10.</t>
  </si>
  <si>
    <t>A.2.11.</t>
  </si>
  <si>
    <t>A.2.12.</t>
  </si>
  <si>
    <t>A.2.13.</t>
  </si>
  <si>
    <t>Permited Purpose Activities</t>
  </si>
  <si>
    <t>Activity Sector of Investlent (NACE Code)</t>
  </si>
  <si>
    <t>Total eligible Project Cost</t>
  </si>
  <si>
    <t>of which working capital</t>
  </si>
  <si>
    <t>Transaction Principal Amout</t>
  </si>
  <si>
    <t>linked to Investment (Transaction reference)</t>
  </si>
  <si>
    <t>Transaction maturity (months)</t>
  </si>
  <si>
    <t>Grace period (months)</t>
  </si>
  <si>
    <t>Transaction signature date</t>
  </si>
  <si>
    <t>Repayement frequency</t>
  </si>
  <si>
    <t>First disbursement date</t>
  </si>
  <si>
    <t>Investment location (NUTS)</t>
  </si>
  <si>
    <t>Gross Grant Equivalent amount</t>
  </si>
  <si>
    <t>Collateral level (%) after haircuts</t>
  </si>
  <si>
    <t>Type of operation</t>
  </si>
  <si>
    <t>Product Category (CN Code)</t>
  </si>
  <si>
    <t>Mandatory (if applicable)</t>
  </si>
  <si>
    <t>Transaction reference</t>
  </si>
  <si>
    <t>B.1.</t>
  </si>
  <si>
    <t>Cumulated disbursed principal amount</t>
  </si>
  <si>
    <t>B.2.</t>
  </si>
  <si>
    <t>Transaction outstanding principal amount</t>
  </si>
  <si>
    <t>B.3.</t>
  </si>
  <si>
    <t>B.4</t>
  </si>
  <si>
    <t>B.5.</t>
  </si>
  <si>
    <t>B.6.</t>
  </si>
  <si>
    <t>B.7.</t>
  </si>
  <si>
    <t>End of disbursement period (Y/N)</t>
  </si>
  <si>
    <t>Defaulted Final Recipient Transaction (Y/N)</t>
  </si>
  <si>
    <t>Event date / Date of defaulted final recipient transaction</t>
  </si>
  <si>
    <t>Final recipient rating/scoring</t>
  </si>
  <si>
    <t>Final recipient rating model used</t>
  </si>
  <si>
    <t>A.2.1</t>
  </si>
  <si>
    <t>E.1.</t>
  </si>
  <si>
    <t>E.2.</t>
  </si>
  <si>
    <t>E.3.</t>
  </si>
  <si>
    <t>Exclusion date</t>
  </si>
  <si>
    <t>Event type</t>
  </si>
  <si>
    <t>Excluded transaction amount</t>
  </si>
  <si>
    <t xml:space="preserve">A/1/1/ </t>
  </si>
  <si>
    <t>A/2/1/</t>
  </si>
  <si>
    <t>A/2/2/</t>
  </si>
  <si>
    <t>C/1/</t>
  </si>
  <si>
    <t>C/2/</t>
  </si>
  <si>
    <t>C/3/</t>
  </si>
  <si>
    <t>C/4/</t>
  </si>
  <si>
    <t>C/5/</t>
  </si>
  <si>
    <t>Transaction Currency</t>
  </si>
  <si>
    <t>Event date</t>
  </si>
  <si>
    <t>Loss amount in principal</t>
  </si>
  <si>
    <t>Unpaid Interest</t>
  </si>
  <si>
    <t>Recovery Amound</t>
  </si>
  <si>
    <t>ENTETE</t>
  </si>
  <si>
    <t>LIB_ENTETE</t>
  </si>
  <si>
    <t>TYPE_ENTETE</t>
  </si>
  <si>
    <t>ONGLET</t>
  </si>
  <si>
    <t>[KLS_SIRET]</t>
  </si>
  <si>
    <t>[KLS_NOM BENEFICIAIRE]</t>
  </si>
  <si>
    <t>[KLS_CODE POSTAL]</t>
  </si>
  <si>
    <t>[KLS_DATE CREATION ENTREPRISE]</t>
  </si>
  <si>
    <t>[KLS_NBR EMPLOYES]</t>
  </si>
  <si>
    <t>[KLS_TAILLE EXPLOITATION]</t>
  </si>
  <si>
    <t>[KLS_NUM PRET]</t>
  </si>
  <si>
    <t>[KLS_TYPE OBJET FINANCEMENT]</t>
  </si>
  <si>
    <t>[KLS_MONTANT PROJET CLIENT]</t>
  </si>
  <si>
    <t>[KLS_MONTANT BFR]</t>
  </si>
  <si>
    <t>[KLS_MONTANT PRET APRES CONTRAT]</t>
  </si>
  <si>
    <t>[KLS_DUREE PRET]</t>
  </si>
  <si>
    <t>[KLS_DIFFERE PRET]</t>
  </si>
  <si>
    <t>[KLS_DATE SIGNATURE DU PRET]</t>
  </si>
  <si>
    <t>[KLS_DATE 1ER DEBLOCAGE]</t>
  </si>
  <si>
    <t>[KLS_CALCUL ESB]</t>
  </si>
  <si>
    <t>[KLS_TYPE INVESTISSEMENT]</t>
  </si>
  <si>
    <t>[KLS_PRODUCT CATEGORY]</t>
  </si>
  <si>
    <t>[R3_CAPITAL RESTANT DU REEL]</t>
  </si>
  <si>
    <t>[KLS_MONTANT PRET]</t>
  </si>
  <si>
    <t>[KLS_TYPE PRET]</t>
  </si>
  <si>
    <t>[KLS_PERIODICITE DU PRET]</t>
  </si>
  <si>
    <t>LEFT([KLS_SIRET],9)</t>
  </si>
  <si>
    <t>[R3_MONTANT DES FONDS REMIS]</t>
  </si>
  <si>
    <t>""</t>
  </si>
  <si>
    <t>QQ_AAAA</t>
  </si>
  <si>
    <t>ALTERNA</t>
  </si>
  <si>
    <t>A/1/1/1/</t>
  </si>
  <si>
    <t xml:space="preserve">A/1/2/ </t>
  </si>
  <si>
    <t xml:space="preserve">A/1/3/ </t>
  </si>
  <si>
    <t xml:space="preserve">A/1/4/ </t>
  </si>
  <si>
    <t xml:space="preserve">A/1/5/ </t>
  </si>
  <si>
    <t xml:space="preserve">A/1/6/ </t>
  </si>
  <si>
    <t xml:space="preserve">A/1/7/ </t>
  </si>
  <si>
    <t xml:space="preserve">A/1/8/ </t>
  </si>
  <si>
    <t xml:space="preserve">A/1/9/ </t>
  </si>
  <si>
    <t xml:space="preserve">A/1/10/ </t>
  </si>
  <si>
    <t xml:space="preserve">A/1/11/ </t>
  </si>
  <si>
    <t>A/1/12</t>
  </si>
  <si>
    <t>A/1/13</t>
  </si>
  <si>
    <t>A/1/14</t>
  </si>
  <si>
    <t>Eligible Final Recipient</t>
  </si>
  <si>
    <t>A/1/15</t>
  </si>
  <si>
    <t>A/2/1/1/</t>
  </si>
  <si>
    <t>Transaction type</t>
  </si>
  <si>
    <t>A/2/3/</t>
  </si>
  <si>
    <t>A/2/3/1/</t>
  </si>
  <si>
    <t>A/2/4/</t>
  </si>
  <si>
    <t>A/2/4/1</t>
  </si>
  <si>
    <t>A/2/5/</t>
  </si>
  <si>
    <t>A/2/5/1/</t>
  </si>
  <si>
    <t>A/2/6/</t>
  </si>
  <si>
    <t>A/2/6/1/</t>
  </si>
  <si>
    <t>A/2/7/</t>
  </si>
  <si>
    <t>A/2/8/</t>
  </si>
  <si>
    <t>A/2/8/1/</t>
  </si>
  <si>
    <t>A/2/9/</t>
  </si>
  <si>
    <t>A/2/10/</t>
  </si>
  <si>
    <t>A/2/11/</t>
  </si>
  <si>
    <t>Renewal of generation</t>
  </si>
  <si>
    <t>A/2/12/</t>
  </si>
  <si>
    <t>Themtic Focus of Investment</t>
  </si>
  <si>
    <t>A/2/13/</t>
  </si>
  <si>
    <t>Branche Agricole (OTE diffusion agrégée)</t>
  </si>
  <si>
    <t>B/1/</t>
  </si>
  <si>
    <t>B/2/</t>
  </si>
  <si>
    <t>B/3/</t>
  </si>
  <si>
    <t>B/4</t>
  </si>
  <si>
    <t>B/5/</t>
  </si>
  <si>
    <t>B/6/</t>
  </si>
  <si>
    <t>B/7/</t>
  </si>
  <si>
    <t>A/1/1/</t>
  </si>
  <si>
    <t>E/1/</t>
  </si>
  <si>
    <t>D/1/</t>
  </si>
  <si>
    <t>Repayment date</t>
  </si>
  <si>
    <t>C.1.</t>
  </si>
  <si>
    <t>C.2.</t>
  </si>
  <si>
    <t>C.3.</t>
  </si>
  <si>
    <t>C.4.</t>
  </si>
  <si>
    <t>C.5.</t>
  </si>
  <si>
    <t>INAF</t>
  </si>
  <si>
    <t>UIC number</t>
  </si>
  <si>
    <t xml:space="preserve">A.1.12. </t>
  </si>
  <si>
    <t>UIC Number</t>
  </si>
  <si>
    <t>A.2.5.2.</t>
  </si>
  <si>
    <t>End of disbursement period</t>
  </si>
  <si>
    <t>Beneficiary scoring</t>
  </si>
  <si>
    <t>Beneficiary rating model used</t>
  </si>
  <si>
    <t>Defaulted Beneficiary Transaction</t>
  </si>
  <si>
    <t>D.1.</t>
  </si>
  <si>
    <t>FOSTER</t>
  </si>
  <si>
    <t>Fiscal number</t>
  </si>
  <si>
    <t>Final Recipient name</t>
  </si>
  <si>
    <t>Date of establishment</t>
  </si>
  <si>
    <t>Number of employees</t>
  </si>
  <si>
    <t>Publication (Y/N)</t>
  </si>
  <si>
    <t xml:space="preserve">A.2.2. </t>
  </si>
  <si>
    <t>Transaction currency</t>
  </si>
  <si>
    <t>Transaction purpose</t>
  </si>
  <si>
    <t>Transaction principal amount</t>
  </si>
  <si>
    <t>A.2.5.1</t>
  </si>
  <si>
    <t>Purchase price</t>
  </si>
  <si>
    <t>Mandatory if Lease</t>
  </si>
  <si>
    <t>Down payment</t>
  </si>
  <si>
    <t>Amortisation profile</t>
  </si>
  <si>
    <t>Repayment frequency</t>
  </si>
  <si>
    <t>Reference rate</t>
  </si>
  <si>
    <t>A.2.10.1.</t>
  </si>
  <si>
    <t>Interest rate / margin over Reference rate</t>
  </si>
  <si>
    <t>A.2.11</t>
  </si>
  <si>
    <t>Investment location (Country)</t>
  </si>
  <si>
    <t>Fee</t>
  </si>
  <si>
    <t>Mandatory, if applicable</t>
  </si>
  <si>
    <t>A.2.12.1.</t>
  </si>
  <si>
    <t>Period for fee calculation</t>
  </si>
  <si>
    <t>Loss Given Default</t>
  </si>
  <si>
    <t>A.2.14.</t>
  </si>
  <si>
    <t>Value of Collateral</t>
  </si>
  <si>
    <t>A.2.14.1</t>
  </si>
  <si>
    <t>Main type of collateral</t>
  </si>
  <si>
    <t>A.2.15.</t>
  </si>
  <si>
    <t>State aid Framework</t>
  </si>
  <si>
    <t>A.2.15.1.</t>
  </si>
  <si>
    <t>A.2.16.</t>
  </si>
  <si>
    <t>Green policy relevance</t>
  </si>
  <si>
    <t xml:space="preserve">B.1. </t>
  </si>
  <si>
    <t>Final Recipient rating / scoring</t>
  </si>
  <si>
    <t>Final Recipient rating / scoring model used</t>
  </si>
  <si>
    <t>Final Recipient rating / scoring date</t>
  </si>
  <si>
    <t>B.4.</t>
  </si>
  <si>
    <t>Sum of daily outstanding principal amount (performing)</t>
  </si>
  <si>
    <t>B.8.</t>
  </si>
  <si>
    <t>Delinquent Final Recipient Transaction</t>
  </si>
  <si>
    <t>B.9.</t>
  </si>
  <si>
    <t>Delinquent period (nbr days)</t>
  </si>
  <si>
    <t>B.10.</t>
  </si>
  <si>
    <t>B.11.</t>
  </si>
  <si>
    <t>Event date / Date of Defaulted Final Recipient Transaction</t>
  </si>
  <si>
    <t>B.12.1</t>
  </si>
  <si>
    <t>Upside (amount)</t>
  </si>
  <si>
    <t>Mandatory for subordinated debt</t>
  </si>
  <si>
    <t>B.12.2</t>
  </si>
  <si>
    <t>Upside realised (Y/N)</t>
  </si>
  <si>
    <t>B.13.</t>
  </si>
  <si>
    <t>Moratorium (Y/N)</t>
  </si>
  <si>
    <t>NUM</t>
  </si>
  <si>
    <t>ENVELOPPE</t>
  </si>
  <si>
    <t>Total Turnover (€)</t>
  </si>
  <si>
    <t>Total Assets (€)</t>
  </si>
  <si>
    <t>Unpaid interest</t>
  </si>
  <si>
    <t>Recovery amount</t>
  </si>
  <si>
    <t>A.1.1</t>
  </si>
  <si>
    <t>Final Recipient ID</t>
  </si>
  <si>
    <t>A.1.2</t>
  </si>
  <si>
    <t>A.1.3</t>
  </si>
  <si>
    <t>Email address</t>
  </si>
  <si>
    <t>A.1.4</t>
  </si>
  <si>
    <t>Address</t>
  </si>
  <si>
    <t>A.1.5</t>
  </si>
  <si>
    <t>A.1.6</t>
  </si>
  <si>
    <t>A.1.7</t>
  </si>
  <si>
    <t>Region (NUTS2)</t>
  </si>
  <si>
    <t>A.1.8</t>
  </si>
  <si>
    <t>A.1.9</t>
  </si>
  <si>
    <t>A.1.10</t>
  </si>
  <si>
    <t>Nationality</t>
  </si>
  <si>
    <t>Mandatory, if category A</t>
  </si>
  <si>
    <t>A.1.11</t>
  </si>
  <si>
    <t>Sector (NACE 4)</t>
  </si>
  <si>
    <t>Total turnover
(EUR)</t>
  </si>
  <si>
    <t>Total assets
(EUR)</t>
  </si>
  <si>
    <t>A.1.16</t>
  </si>
  <si>
    <t>Is the Final Recipient part of a group (Y/N)?</t>
  </si>
  <si>
    <t>A.1.17</t>
  </si>
  <si>
    <t>Final Recipient type</t>
  </si>
  <si>
    <t>A.1.18</t>
  </si>
  <si>
    <t>Natural Person (Y/N)</t>
  </si>
  <si>
    <t>A.1.19</t>
  </si>
  <si>
    <t>Start-up (Y/N)</t>
  </si>
  <si>
    <t>A.1.20</t>
  </si>
  <si>
    <t>FR category</t>
  </si>
  <si>
    <t xml:space="preserve"> Final Recipient Transaction ID</t>
  </si>
  <si>
    <t>Final Recipient Transaction Type</t>
  </si>
  <si>
    <t>A.2.2</t>
  </si>
  <si>
    <t>Final Recipient Transaction Currency</t>
  </si>
  <si>
    <t>A.2.3</t>
  </si>
  <si>
    <t xml:space="preserve">Final Recipient Transaction Purpose </t>
  </si>
  <si>
    <t>A.2.4</t>
  </si>
  <si>
    <t>Final Recipient Transaction Principal amount</t>
  </si>
  <si>
    <t>A.2.5</t>
  </si>
  <si>
    <t>Final Recipient Transaction Maturity (months)</t>
  </si>
  <si>
    <t>A.2.6</t>
  </si>
  <si>
    <t>A.2.7</t>
  </si>
  <si>
    <t>Final Recipient Transaction signature date</t>
  </si>
  <si>
    <t>A.2.8</t>
  </si>
  <si>
    <t>First disbursement date (Loan)/
Lease period start date</t>
  </si>
  <si>
    <t>A.2.9</t>
  </si>
  <si>
    <t>Amortization profile</t>
  </si>
  <si>
    <t>A.2.10</t>
  </si>
  <si>
    <t>Principal Repayment frequency</t>
  </si>
  <si>
    <t>A.2.12</t>
  </si>
  <si>
    <t>Interest rate/
margin</t>
  </si>
  <si>
    <t>A.2.13</t>
  </si>
  <si>
    <t>Interest/Coupon rate frequency</t>
  </si>
  <si>
    <t>A.2.14</t>
  </si>
  <si>
    <t>A.2.15</t>
  </si>
  <si>
    <t>A.2.16</t>
  </si>
  <si>
    <t>A.2.17</t>
  </si>
  <si>
    <t>A.2.18</t>
  </si>
  <si>
    <t>Permitted Additional Interest
(Y/N)</t>
  </si>
  <si>
    <t>A.2.19</t>
  </si>
  <si>
    <t>InvestEU Portfolio Thematic Product</t>
  </si>
  <si>
    <t>A.2.20</t>
  </si>
  <si>
    <t>Guarantee Rate</t>
  </si>
  <si>
    <t>A.2.21</t>
  </si>
  <si>
    <t>IEU Portfolio Thematic Product Eligibility Criteria</t>
  </si>
  <si>
    <t>A.2.22</t>
  </si>
  <si>
    <t>Eligible educational programme</t>
  </si>
  <si>
    <t>A.2.23</t>
  </si>
  <si>
    <t>Eligible investment into Skills</t>
  </si>
  <si>
    <t>Mandatory, if category B</t>
  </si>
  <si>
    <t>A.2.24</t>
  </si>
  <si>
    <t>Country of studies</t>
  </si>
  <si>
    <t>Mandatory, if Category A</t>
  </si>
  <si>
    <t xml:space="preserve"> Final Recipient ID</t>
  </si>
  <si>
    <t>B.1</t>
  </si>
  <si>
    <t>B.2</t>
  </si>
  <si>
    <t>B.3</t>
  </si>
  <si>
    <t>Final Recipient Transaction Cumulated disbursed principal amount</t>
  </si>
  <si>
    <t xml:space="preserve"> Final Recipient Transaction outstanding principal amount</t>
  </si>
  <si>
    <t>B.5</t>
  </si>
  <si>
    <t>B.6</t>
  </si>
  <si>
    <t>B.7</t>
  </si>
  <si>
    <t>Delinquent  Final Recipient Transaction</t>
  </si>
  <si>
    <t>B.8</t>
  </si>
  <si>
    <t>Delinquent period (no. days)</t>
  </si>
  <si>
    <t>B.9</t>
  </si>
  <si>
    <t>Credit event (Y/N)</t>
  </si>
  <si>
    <t>B.10</t>
  </si>
  <si>
    <t>Credit event date</t>
  </si>
  <si>
    <t>Mandatory,if applicable</t>
  </si>
  <si>
    <t>B.11</t>
  </si>
  <si>
    <t>Final Recipient Transaction Cured date</t>
  </si>
  <si>
    <t>B.12.</t>
  </si>
  <si>
    <t>Permitted Additional Interest Amount</t>
  </si>
  <si>
    <t>D.1</t>
  </si>
  <si>
    <t>E.1</t>
  </si>
  <si>
    <t>E.2</t>
  </si>
  <si>
    <t>VALEUR KLS</t>
  </si>
  <si>
    <t>VALEUR REPORTING</t>
  </si>
  <si>
    <t>INVEST EU</t>
  </si>
  <si>
    <t>[KLS_VILLE]</t>
  </si>
  <si>
    <t>[KLS_PAYS]</t>
  </si>
  <si>
    <t>[KLS_CHIFFRES AFFAIRES]</t>
  </si>
  <si>
    <t>[KLS_TOTAL BILAN]</t>
  </si>
  <si>
    <t>[KLS_ADRESSE]</t>
  </si>
  <si>
    <t>[KLS_DEPART]</t>
  </si>
  <si>
    <t xml:space="preserve">[KLS_ENTREPRISE DU GROUPE] </t>
  </si>
  <si>
    <t>[KLS_EMPRUNTEUR JEUNE AGRI]</t>
  </si>
  <si>
    <t>[KLS_CURRENCY]</t>
  </si>
  <si>
    <t>"EUR"</t>
  </si>
  <si>
    <t>[R3_CAPITAL RESTANT DU THEORIQUE]</t>
  </si>
  <si>
    <t>ALTERNA QQ_AAAA Table A1</t>
  </si>
  <si>
    <t>ALTERNA QQ_AAAA Table A2</t>
  </si>
  <si>
    <t>ALTERNA QQ_AAAA Table B</t>
  </si>
  <si>
    <t>ALTERNA QQ_AAAA Table E</t>
  </si>
  <si>
    <t>ALTERNA QQ_AAAA Table C1</t>
  </si>
  <si>
    <t>INAF QQ_AAAA Table A1</t>
  </si>
  <si>
    <t>INAF QQ_AAAA Table A2</t>
  </si>
  <si>
    <t>INAF QQ_AAAA Table B</t>
  </si>
  <si>
    <t>INAF QQ_AAAA Table E</t>
  </si>
  <si>
    <t>INAF QQ_AAAA Table D</t>
  </si>
  <si>
    <t>INAF QQ_AAAA Table PD</t>
  </si>
  <si>
    <t>FOSTER QQ_AAAA Table A1</t>
  </si>
  <si>
    <t>FOSTER QQ_AAAA Table A2</t>
  </si>
  <si>
    <t>FOSTER QQ_AAAA Table B</t>
  </si>
  <si>
    <t>FOSTER QQ_AAAA Table D</t>
  </si>
  <si>
    <t>[KLS_RAISON SOCIALE]</t>
  </si>
  <si>
    <t>[KLS_DATE CREATION DOSSIER]</t>
  </si>
  <si>
    <t>[KLS_TYPE CIBLE]</t>
  </si>
  <si>
    <t>[KLS_ENTREPRISE DU GROUPE]</t>
  </si>
  <si>
    <t>"0"</t>
  </si>
  <si>
    <t>[KLS_PRET NOUVELLE GENERATION]</t>
  </si>
  <si>
    <t>[KLS_THEMATIQUE INVEST]</t>
  </si>
  <si>
    <t>[KLS_BRANCHE AGRI]</t>
  </si>
  <si>
    <t>[KLS_NOTATION EMPRUNTEUR]</t>
  </si>
  <si>
    <t>[KLS_MODELE NOTATION]</t>
  </si>
  <si>
    <t>"Banque de France model"</t>
  </si>
  <si>
    <t>MODELE</t>
  </si>
  <si>
    <t>ALTERNA Model.xlsx</t>
  </si>
  <si>
    <t>INAF Model.xlsx</t>
  </si>
  <si>
    <t>FOSTER Model.xlsx</t>
  </si>
  <si>
    <t>[KLS_CODE NAF]</t>
  </si>
  <si>
    <t>"LOAN"</t>
  </si>
  <si>
    <t>FOSTER QQ_AAAA Table E</t>
  </si>
  <si>
    <t>[KLS_MONTANT ELIGIBLE FEI]</t>
  </si>
  <si>
    <t>[KLS_DATE CONTRACT OBJET FINANCEMENT]</t>
  </si>
  <si>
    <t>[KLS_PROFIL AMORT]</t>
  </si>
  <si>
    <t>[KLS_TAUX INTERET PRET]</t>
  </si>
  <si>
    <t>[KLS_TAUX REFERENCE]</t>
  </si>
  <si>
    <t>[R3_CAPITAL RESTANT DU REEL-MESURE]</t>
  </si>
  <si>
    <t>"N"</t>
  </si>
  <si>
    <t>[KLS_EXISTANCE MORATOIRE]</t>
  </si>
  <si>
    <t>INVEST EU Model.xlsx</t>
  </si>
  <si>
    <t>[KLS_PUBLICATION INFORMATION AUTORISEE]</t>
  </si>
  <si>
    <t>INVEST EU Table A1</t>
  </si>
  <si>
    <t>INVEST EU Table A2</t>
  </si>
  <si>
    <t>INVEST EU Table B</t>
  </si>
  <si>
    <t>INVEST EU Table D</t>
  </si>
  <si>
    <t>NOM DES FICHIERS</t>
  </si>
  <si>
    <t>CHEMIN</t>
  </si>
  <si>
    <t>SOURCE</t>
  </si>
  <si>
    <t>CHAMP</t>
  </si>
  <si>
    <t>CHAMP IMPORT</t>
  </si>
  <si>
    <t>KLS</t>
  </si>
  <si>
    <t>Branche agricole</t>
  </si>
  <si>
    <t>KLS_BRANCHE AGRI</t>
  </si>
  <si>
    <t>KLS_CALCUL ESB</t>
  </si>
  <si>
    <t>KLS_CHIFFRES AFFAIRES</t>
  </si>
  <si>
    <t>Code postal</t>
  </si>
  <si>
    <t>KLS_CODE POSTAL</t>
  </si>
  <si>
    <t>KLS_CR PRET</t>
  </si>
  <si>
    <t>KLS_DATE CONTRACT OBJET FINANCEMENT</t>
  </si>
  <si>
    <t>KLS_DATE CREATION ENTREPRISE</t>
  </si>
  <si>
    <t>Date de création du dossier</t>
  </si>
  <si>
    <t>KLS_DATE CREATION DOSSIER</t>
  </si>
  <si>
    <t>Date de premier déblocage</t>
  </si>
  <si>
    <t>KLS_DATE 1ER DEBLOCAGE</t>
  </si>
  <si>
    <t>Date de signature du prêt</t>
  </si>
  <si>
    <t>KLS_DATE SIGNATURE DU PRET</t>
  </si>
  <si>
    <t>Date de validation du reporting</t>
  </si>
  <si>
    <t>KLS_DATE VALIDATION REPORTING</t>
  </si>
  <si>
    <t>Département</t>
  </si>
  <si>
    <t>Dernière date de reporting</t>
  </si>
  <si>
    <t>KLS_DERNIERE DATE REPORT</t>
  </si>
  <si>
    <t>Dernière modification par</t>
  </si>
  <si>
    <t>KLS_DERNIERE DATE MODIF</t>
  </si>
  <si>
    <t>Différé du prêt</t>
  </si>
  <si>
    <t>KLS_DIFFERE PRET</t>
  </si>
  <si>
    <t>Durée du prêt</t>
  </si>
  <si>
    <t>KLS_DUREE PRET</t>
  </si>
  <si>
    <t>Existe-t-il un moratoire en place ?</t>
  </si>
  <si>
    <t>KLS_EXISTANCE MORATOIRE</t>
  </si>
  <si>
    <t>Le prêt supporte-t-il le renouvellement des générations ?</t>
  </si>
  <si>
    <t>KLS_PRET NOUVELLE GENERATION</t>
  </si>
  <si>
    <t>KLS_EMPRUNTEUR JEUNE AGRI</t>
  </si>
  <si>
    <t>KLS_ENTREPRISE DU GROUPE</t>
  </si>
  <si>
    <t>KLS_MODELE NOTATION</t>
  </si>
  <si>
    <t>Montant du BFR (dont BFR)</t>
  </si>
  <si>
    <t>KLS_MONTANT BFR</t>
  </si>
  <si>
    <t>Montant du prêt</t>
  </si>
  <si>
    <t>KLS_MONTANT PRET</t>
  </si>
  <si>
    <t>Montant du prêt après contractualisation</t>
  </si>
  <si>
    <t>KLS_MONTANT PRET APRES CONTRAT</t>
  </si>
  <si>
    <t>Montant total du crédit FEI</t>
  </si>
  <si>
    <t>KLS_MONTANT CREDIT FEI</t>
  </si>
  <si>
    <t>Montant total du projet client</t>
  </si>
  <si>
    <t>KLS_MONTANT PROJET CLIENT</t>
  </si>
  <si>
    <t>Montant total éligible FEI</t>
  </si>
  <si>
    <t>KLS_MONTANT ELIGIBLE FEI</t>
  </si>
  <si>
    <t>KLS_SIRET</t>
  </si>
  <si>
    <t>KLS_NUM OPERATION</t>
  </si>
  <si>
    <t>N° et nom de la Rue</t>
  </si>
  <si>
    <t>KLS_ADRESSE</t>
  </si>
  <si>
    <t>KLS_NUM PRET</t>
  </si>
  <si>
    <t>Nom du bénéficiaire</t>
  </si>
  <si>
    <t>KLS_NBR EMPLOYES</t>
  </si>
  <si>
    <t>Notation emprunteur</t>
  </si>
  <si>
    <t>KLS_NOTATION EMPRUNTEUR</t>
  </si>
  <si>
    <t>KLS_NOUVELLE MATURITE</t>
  </si>
  <si>
    <t>Pays</t>
  </si>
  <si>
    <t>KLS_PAYS</t>
  </si>
  <si>
    <t>Périodicité du prêt</t>
  </si>
  <si>
    <t>KLS_PERIODICITE DU PRET</t>
  </si>
  <si>
    <t>Première date de reporting</t>
  </si>
  <si>
    <t>KLS_PREMIERE DATE REPORTING</t>
  </si>
  <si>
    <t>Product Category (CN code)</t>
  </si>
  <si>
    <t>KLS_PRODUCT CATEGORY</t>
  </si>
  <si>
    <t>Profil d’amortissement</t>
  </si>
  <si>
    <t>KLS_PROFIL AMORT</t>
  </si>
  <si>
    <t>KLS_PUBLICATION INFORMATION AUTORISEE</t>
  </si>
  <si>
    <t>Raison sociale</t>
  </si>
  <si>
    <t>Statut du dossier</t>
  </si>
  <si>
    <t>KLS_STATUT DOSSIER</t>
  </si>
  <si>
    <t>KLS_TAILLE EXPLOITATION</t>
  </si>
  <si>
    <t>Taux d’intérêt du prêt</t>
  </si>
  <si>
    <t>KLS_TAUX INTERET PRET</t>
  </si>
  <si>
    <t>Taux de référence</t>
  </si>
  <si>
    <t>KLS_TAUX REFERENCE</t>
  </si>
  <si>
    <t>KLS_THEMATIQUE INVEST</t>
  </si>
  <si>
    <t>Total bilan</t>
  </si>
  <si>
    <t>KLS_TOTAL BILAN</t>
  </si>
  <si>
    <t>Type de cible</t>
  </si>
  <si>
    <t>KLS_TYPE CIBLE</t>
  </si>
  <si>
    <t>KLS_TYPE OBJET FINANCEMENT</t>
  </si>
  <si>
    <t>Type de prêt</t>
  </si>
  <si>
    <t>KLS_TYPE PRET</t>
  </si>
  <si>
    <t>KLS_TYPE EMPRUNTEUR</t>
  </si>
  <si>
    <t>Ville</t>
  </si>
  <si>
    <t>KLS_VILLE</t>
  </si>
  <si>
    <t>Devise</t>
  </si>
  <si>
    <t>KLS_CURRENCY</t>
  </si>
  <si>
    <t>R3</t>
  </si>
  <si>
    <t>R3_CATEGORIE DE PRET</t>
  </si>
  <si>
    <t>CLE_CAM-CODE CLE DU NUMERO CAM</t>
  </si>
  <si>
    <t>R3_CLE DU NUMERO CAM</t>
  </si>
  <si>
    <t>COMMUNE-COMMUNE OU PAYS</t>
  </si>
  <si>
    <t>R3_COMMUNE OU PAYS</t>
  </si>
  <si>
    <t>CRD_REEL-CAPITAL RESTANT DU REEL</t>
  </si>
  <si>
    <t>R3_CAPITAL RESTANT DU REEL</t>
  </si>
  <si>
    <t>CRD_REEL-CAPITAL RESTANT DU REEL-Mesure</t>
  </si>
  <si>
    <t>CRD_THEO-CAPITAL RESTANT DU THEORIQUE</t>
  </si>
  <si>
    <t>R3_CAPITAL RESTANT DU THEORIQUE</t>
  </si>
  <si>
    <t>CRD_THEO-CAPITAL RESTANT DU THEORIQUE-Mesure</t>
  </si>
  <si>
    <t>R3_DATE ARRETE BANQUE DE France</t>
  </si>
  <si>
    <t>R3_ZERO DATE ECHEANCE ZERO</t>
  </si>
  <si>
    <t>DATE_PREM_REAL-DATE DE PREMIERE REALISATION</t>
  </si>
  <si>
    <t>R3_REAL DATE DE PREMIERE REALISATION</t>
  </si>
  <si>
    <t>DATE_PREM_REAL-DATE DE PREMIERE REALISATION-Mesure</t>
  </si>
  <si>
    <t>DATE_PROCH_ECH-DATE DE PROCHAINE ECHEANCE-Mesure</t>
  </si>
  <si>
    <t>R3_DATE DE PROCHAINE ECHEANCE-MESURE</t>
  </si>
  <si>
    <t>R3_CODE DOMAINE INTERVENTION</t>
  </si>
  <si>
    <t>R3_DUREE INITIALE PRET OCTROI</t>
  </si>
  <si>
    <t>R3_DUREE INITIALE PRET OCTROI-MESURE</t>
  </si>
  <si>
    <t>DUREE_DIFF_1-DUREE PREMIER DIFF.DU PRET</t>
  </si>
  <si>
    <t>R3_DUREE PREMIER DIFF PRET</t>
  </si>
  <si>
    <t>DUREE_DIFF_2-DUREE DEUXIEME DIFF.DU PRET</t>
  </si>
  <si>
    <t>R3_DUREE DEUXIEME DIFF PRET</t>
  </si>
  <si>
    <t>DUREE_THEO-DUREE RELLE à DATE BDF</t>
  </si>
  <si>
    <t>R3_DUREE RELLE DATE BDF</t>
  </si>
  <si>
    <t>DUREE_THEO-DUREE RELLE à DATE BDF-Mesure</t>
  </si>
  <si>
    <t>R3_DUREE RELLE DATE BDF-MESURE</t>
  </si>
  <si>
    <t>FORM_JUR-CSP à l’octroi</t>
  </si>
  <si>
    <t>R3_FORM_JUR-CSP OCTROI</t>
  </si>
  <si>
    <t>R3_IDCAM DATE ARRETE</t>
  </si>
  <si>
    <t>Impayé</t>
  </si>
  <si>
    <t>R3_IMPAYE</t>
  </si>
  <si>
    <t>R3_LOI AMORTISSEMENT</t>
  </si>
  <si>
    <t>MONT_ACC_NSIG-MONTANT DU PRET ACCORDE</t>
  </si>
  <si>
    <t>R3_MONTANT PRET ACCORDE</t>
  </si>
  <si>
    <t>MONT_ACC_NSIG-MONTANT DU PRET ACCORDE-Mesure</t>
  </si>
  <si>
    <t>MONT_FONDS-MONTANT DES FONDS REMIS</t>
  </si>
  <si>
    <t>R3_MONTANT DES FONDS REMIS</t>
  </si>
  <si>
    <t>MONT_FONDS-MONTANT DES FONDS REMIS-Mesure</t>
  </si>
  <si>
    <t>NUM_CR-NUMERO DE CAISSE REGIONALE</t>
  </si>
  <si>
    <t>R3_NUMERO CAISSE REGIONALE</t>
  </si>
  <si>
    <t>NUM_EMP-NUMERO EMPRUNTEUR</t>
  </si>
  <si>
    <t>R3_NUMERO EMPRUNTEUR</t>
  </si>
  <si>
    <t>R3_NUMERO OPERATION</t>
  </si>
  <si>
    <t>NUM_PRET-NUMERO DE PRET</t>
  </si>
  <si>
    <t>R3_NUMERO PRET</t>
  </si>
  <si>
    <t>NUM-DEP-DEPARTEMENT</t>
  </si>
  <si>
    <t>R3_DEPARTEMENT</t>
  </si>
  <si>
    <t>PERIOD-PERIODICITE</t>
  </si>
  <si>
    <t>R3_PERIODICITE</t>
  </si>
  <si>
    <t>REF_CR-REFERENCE CR</t>
  </si>
  <si>
    <t>R3_REFERENCE CR</t>
  </si>
  <si>
    <t>SIREN_DT_PR-SIREN EMPRUNTEUR A SIGNATURE PRET</t>
  </si>
  <si>
    <t>R3_SIREN EMPRUNTEUR</t>
  </si>
  <si>
    <t>TY_GARAN1-TYPE DE LA 1ERE GARANTIE RECUE</t>
  </si>
  <si>
    <t>R3_TYPE DE LA 1ERE GARANTIE RECUE</t>
  </si>
  <si>
    <t>TY_GARAN2 -TYPE DE LA 2EME GARANTIE RECUE</t>
  </si>
  <si>
    <t>R3_TYPE DE LA 2EME GARANTIE RECUE</t>
  </si>
  <si>
    <t>TY_GARAN3 -TYPE DE LA 3EME GARANTIE RECUE</t>
  </si>
  <si>
    <t>R3_TYPE DE LA 3EME GARANTIE RECUE</t>
  </si>
  <si>
    <t>TYPE_DIFF_1-TYPE PREMIER DIFFERE DU PRET</t>
  </si>
  <si>
    <t>R3_TYPE PREMIER DIFFERE DU PRET</t>
  </si>
  <si>
    <t>TYPE_DIFF_2-TYPE DEUXIEME DIFFERE DU PRET</t>
  </si>
  <si>
    <t>R3_TYPE DEUXIEME DIFFERE DU PRET</t>
  </si>
  <si>
    <t>CR</t>
  </si>
  <si>
    <t>Code</t>
  </si>
  <si>
    <t>NUTS</t>
  </si>
  <si>
    <t>CA Alpes Provence</t>
  </si>
  <si>
    <t>01</t>
  </si>
  <si>
    <t>FRK21</t>
  </si>
  <si>
    <t>CA Alsace Vosges</t>
  </si>
  <si>
    <t>02</t>
  </si>
  <si>
    <t>FRE21</t>
  </si>
  <si>
    <t>CA Anjou et Maine</t>
  </si>
  <si>
    <t>03</t>
  </si>
  <si>
    <t>FRK11</t>
  </si>
  <si>
    <t>CA Aquitaine</t>
  </si>
  <si>
    <t>04</t>
  </si>
  <si>
    <t>FRL01</t>
  </si>
  <si>
    <t>CA Atlantique Vendée</t>
  </si>
  <si>
    <t>05</t>
  </si>
  <si>
    <t>FRL02</t>
  </si>
  <si>
    <t>CA Brie Picardie</t>
  </si>
  <si>
    <t>06</t>
  </si>
  <si>
    <t>FRL03</t>
  </si>
  <si>
    <t>CA Centre France</t>
  </si>
  <si>
    <t>07</t>
  </si>
  <si>
    <t>FRK22</t>
  </si>
  <si>
    <t>CA Centre Loire</t>
  </si>
  <si>
    <t>08</t>
  </si>
  <si>
    <t>FRF21</t>
  </si>
  <si>
    <t>CA Centre Ouest</t>
  </si>
  <si>
    <t>09</t>
  </si>
  <si>
    <t>FRJ21</t>
  </si>
  <si>
    <t>CA Centre-Est</t>
  </si>
  <si>
    <t>10</t>
  </si>
  <si>
    <t>FRF22</t>
  </si>
  <si>
    <t>CA Champagne-Bourgogne</t>
  </si>
  <si>
    <t>11</t>
  </si>
  <si>
    <t>FRJ11</t>
  </si>
  <si>
    <t>CA Charente Maritime Deux-Sèvres</t>
  </si>
  <si>
    <t>12</t>
  </si>
  <si>
    <t>FRJ22</t>
  </si>
  <si>
    <t>CA Charente-Périgord</t>
  </si>
  <si>
    <t>13</t>
  </si>
  <si>
    <t>FRL04</t>
  </si>
  <si>
    <t>CA Côtes d’Armor</t>
  </si>
  <si>
    <t>14</t>
  </si>
  <si>
    <t>FRD11</t>
  </si>
  <si>
    <t>CA des Savoie</t>
  </si>
  <si>
    <t>15</t>
  </si>
  <si>
    <t>FRK12</t>
  </si>
  <si>
    <t>CA Finistère</t>
  </si>
  <si>
    <t>16</t>
  </si>
  <si>
    <t>FRI31</t>
  </si>
  <si>
    <t>CA Franche-Comté</t>
  </si>
  <si>
    <t>17</t>
  </si>
  <si>
    <t>FRI32</t>
  </si>
  <si>
    <t>CA Ille-et-Vilaine</t>
  </si>
  <si>
    <t>18</t>
  </si>
  <si>
    <t>FRB01</t>
  </si>
  <si>
    <t>CA Languedoc</t>
  </si>
  <si>
    <t>19</t>
  </si>
  <si>
    <t>FRI21</t>
  </si>
  <si>
    <t>CA Loire Haute-Loire</t>
  </si>
  <si>
    <t>21</t>
  </si>
  <si>
    <t>FRC11</t>
  </si>
  <si>
    <t>CA Lorraine</t>
  </si>
  <si>
    <t>22</t>
  </si>
  <si>
    <t>FRH01</t>
  </si>
  <si>
    <t>CA Martinique-Guyane</t>
  </si>
  <si>
    <t>23</t>
  </si>
  <si>
    <t>FRI22</t>
  </si>
  <si>
    <t>CA Morbihan</t>
  </si>
  <si>
    <t>24</t>
  </si>
  <si>
    <t>FRI11</t>
  </si>
  <si>
    <t>CA Nord de France</t>
  </si>
  <si>
    <t>25</t>
  </si>
  <si>
    <t>FRC21</t>
  </si>
  <si>
    <t>CA Nord Est</t>
  </si>
  <si>
    <t>26</t>
  </si>
  <si>
    <t>FRK23</t>
  </si>
  <si>
    <t>CA Nord Midi Pyrénées</t>
  </si>
  <si>
    <t>27</t>
  </si>
  <si>
    <t>FRD21</t>
  </si>
  <si>
    <t>CA Normandie</t>
  </si>
  <si>
    <t>28</t>
  </si>
  <si>
    <t>FRB02</t>
  </si>
  <si>
    <t>CA Normandie-Seine</t>
  </si>
  <si>
    <t>29</t>
  </si>
  <si>
    <t>FRH02</t>
  </si>
  <si>
    <t>CA Provence Côte d’Azur</t>
  </si>
  <si>
    <t>2A</t>
  </si>
  <si>
    <t>FRM01</t>
  </si>
  <si>
    <t>CA Pyrénées Gascogne</t>
  </si>
  <si>
    <t>2B</t>
  </si>
  <si>
    <t>FRM02</t>
  </si>
  <si>
    <t>CA Sud Méditerranée</t>
  </si>
  <si>
    <t>30</t>
  </si>
  <si>
    <t>FRJ12</t>
  </si>
  <si>
    <t>CA Sud Rhône Alpes</t>
  </si>
  <si>
    <t>31</t>
  </si>
  <si>
    <t>FRJ23</t>
  </si>
  <si>
    <t>CA Touraine Poitou</t>
  </si>
  <si>
    <t>32</t>
  </si>
  <si>
    <t>FRJ24</t>
  </si>
  <si>
    <t>CA Val de France</t>
  </si>
  <si>
    <t>33</t>
  </si>
  <si>
    <t>FRI12</t>
  </si>
  <si>
    <t>34</t>
  </si>
  <si>
    <t>FRJ13</t>
  </si>
  <si>
    <t>35</t>
  </si>
  <si>
    <t>FRH03</t>
  </si>
  <si>
    <t>36</t>
  </si>
  <si>
    <t>FRB03</t>
  </si>
  <si>
    <t>37</t>
  </si>
  <si>
    <t>FRB04</t>
  </si>
  <si>
    <t>38</t>
  </si>
  <si>
    <t>FRK24</t>
  </si>
  <si>
    <t>39</t>
  </si>
  <si>
    <t>FRC22</t>
  </si>
  <si>
    <t>40</t>
  </si>
  <si>
    <t>FRI13</t>
  </si>
  <si>
    <t>41</t>
  </si>
  <si>
    <t>FRB05</t>
  </si>
  <si>
    <t>42</t>
  </si>
  <si>
    <t>FRK25</t>
  </si>
  <si>
    <t>43</t>
  </si>
  <si>
    <t>FRK13</t>
  </si>
  <si>
    <t>44</t>
  </si>
  <si>
    <t>FRG01</t>
  </si>
  <si>
    <t>45</t>
  </si>
  <si>
    <t>FRB06</t>
  </si>
  <si>
    <t>46</t>
  </si>
  <si>
    <t>FRJ25</t>
  </si>
  <si>
    <t>47</t>
  </si>
  <si>
    <t>FRI14</t>
  </si>
  <si>
    <t>48</t>
  </si>
  <si>
    <t>FRJ14</t>
  </si>
  <si>
    <t>49</t>
  </si>
  <si>
    <t>FRG02</t>
  </si>
  <si>
    <t>50</t>
  </si>
  <si>
    <t>FRD12</t>
  </si>
  <si>
    <t>51</t>
  </si>
  <si>
    <t>FRF23</t>
  </si>
  <si>
    <t>52</t>
  </si>
  <si>
    <t>FRF24</t>
  </si>
  <si>
    <t>53</t>
  </si>
  <si>
    <t>FRG03</t>
  </si>
  <si>
    <t>54</t>
  </si>
  <si>
    <t>FRF31</t>
  </si>
  <si>
    <t>55</t>
  </si>
  <si>
    <t>FRF32</t>
  </si>
  <si>
    <t>56</t>
  </si>
  <si>
    <t>FRH04</t>
  </si>
  <si>
    <t>57</t>
  </si>
  <si>
    <t>FRF33</t>
  </si>
  <si>
    <t>58</t>
  </si>
  <si>
    <t>FRC12</t>
  </si>
  <si>
    <t>59</t>
  </si>
  <si>
    <t>FRE11</t>
  </si>
  <si>
    <t>60</t>
  </si>
  <si>
    <t>FRE22</t>
  </si>
  <si>
    <t>61</t>
  </si>
  <si>
    <t>FRD13</t>
  </si>
  <si>
    <t>62</t>
  </si>
  <si>
    <t>FRE12</t>
  </si>
  <si>
    <t>63</t>
  </si>
  <si>
    <t>FRK14</t>
  </si>
  <si>
    <t>64</t>
  </si>
  <si>
    <t>FRI15</t>
  </si>
  <si>
    <t>65</t>
  </si>
  <si>
    <t>FRJ26</t>
  </si>
  <si>
    <t>66</t>
  </si>
  <si>
    <t>FRJ15</t>
  </si>
  <si>
    <t>67</t>
  </si>
  <si>
    <t>FRF11</t>
  </si>
  <si>
    <t>68</t>
  </si>
  <si>
    <t>FRF12</t>
  </si>
  <si>
    <t>69</t>
  </si>
  <si>
    <t>FRK26</t>
  </si>
  <si>
    <t>70</t>
  </si>
  <si>
    <t>FRC23</t>
  </si>
  <si>
    <t>71</t>
  </si>
  <si>
    <t>FRC13</t>
  </si>
  <si>
    <t>72</t>
  </si>
  <si>
    <t>FRG04</t>
  </si>
  <si>
    <t>73</t>
  </si>
  <si>
    <t>FRK27</t>
  </si>
  <si>
    <t>74</t>
  </si>
  <si>
    <t>FRK28</t>
  </si>
  <si>
    <t>75</t>
  </si>
  <si>
    <t>FR101</t>
  </si>
  <si>
    <t>76</t>
  </si>
  <si>
    <t>FRD22</t>
  </si>
  <si>
    <t>77</t>
  </si>
  <si>
    <t>FR102</t>
  </si>
  <si>
    <t>78</t>
  </si>
  <si>
    <t>FR103</t>
  </si>
  <si>
    <t>79</t>
  </si>
  <si>
    <t>FRI33</t>
  </si>
  <si>
    <t>80</t>
  </si>
  <si>
    <t>FRE23</t>
  </si>
  <si>
    <t>81</t>
  </si>
  <si>
    <t>FRJ27</t>
  </si>
  <si>
    <t>82</t>
  </si>
  <si>
    <t>FRJ28</t>
  </si>
  <si>
    <t>83</t>
  </si>
  <si>
    <t>FRL05</t>
  </si>
  <si>
    <t>84</t>
  </si>
  <si>
    <t>FRL06</t>
  </si>
  <si>
    <t>85</t>
  </si>
  <si>
    <t>FRG05</t>
  </si>
  <si>
    <t>86</t>
  </si>
  <si>
    <t>FRI34</t>
  </si>
  <si>
    <t>87</t>
  </si>
  <si>
    <t>FRI23</t>
  </si>
  <si>
    <t>88</t>
  </si>
  <si>
    <t>FRF34</t>
  </si>
  <si>
    <t>89</t>
  </si>
  <si>
    <t>FRC14</t>
  </si>
  <si>
    <t>90</t>
  </si>
  <si>
    <t>FRC24</t>
  </si>
  <si>
    <t>91</t>
  </si>
  <si>
    <t>FR104</t>
  </si>
  <si>
    <t>92</t>
  </si>
  <si>
    <t>FR105</t>
  </si>
  <si>
    <t>93</t>
  </si>
  <si>
    <t>FR106</t>
  </si>
  <si>
    <t>94</t>
  </si>
  <si>
    <t>FR107</t>
  </si>
  <si>
    <t>95</t>
  </si>
  <si>
    <t>FR108</t>
  </si>
  <si>
    <t>97</t>
  </si>
  <si>
    <t>FRY10</t>
  </si>
  <si>
    <t>FRY20</t>
  </si>
  <si>
    <t>FRY30</t>
  </si>
  <si>
    <t>FRY40</t>
  </si>
  <si>
    <t>FRY50</t>
  </si>
  <si>
    <t>INVEST EU Table E</t>
  </si>
  <si>
    <t>Lien</t>
  </si>
  <si>
    <t>TRIM_CLOTURE</t>
  </si>
  <si>
    <t>MOIS TRAITEMENT</t>
  </si>
  <si>
    <t>Q1_AAAA</t>
  </si>
  <si>
    <t>Q2_AAAA</t>
  </si>
  <si>
    <t>Q3_AAAA</t>
  </si>
  <si>
    <t>Q4_AAAA</t>
  </si>
  <si>
    <t>Code NAF du prêt</t>
  </si>
  <si>
    <t>Code NAF du bénéficiaire</t>
  </si>
  <si>
    <t>Autorisation de publication des informations sur le bénéficiaire de la garantie par le FEI (site web et/ou article de presse)</t>
  </si>
  <si>
    <t>Notation finale Emprunteur</t>
  </si>
  <si>
    <t>KLS_PUBLICATION INFORMATION BENEF</t>
  </si>
  <si>
    <t>Q4_AAAA-1</t>
  </si>
  <si>
    <t>IMPORT</t>
  </si>
  <si>
    <t>KLS_CODE NAF</t>
  </si>
  <si>
    <t>APV</t>
  </si>
  <si>
    <t>Champ;[KLS_SIRET]</t>
  </si>
  <si>
    <t>Champ;[…]</t>
  </si>
  <si>
    <t>Extract;[KLS_SIRET];9</t>
  </si>
  <si>
    <t>If;[test];Valeur;Valeur</t>
  </si>
  <si>
    <t>Valeur;""</t>
  </si>
  <si>
    <t>page</t>
  </si>
  <si>
    <t>Correspondance Page / Enveloppe cible</t>
  </si>
  <si>
    <t>Fichiers R3</t>
  </si>
  <si>
    <t>Page1</t>
  </si>
  <si>
    <t>Inaf</t>
  </si>
  <si>
    <t>Alterna</t>
  </si>
  <si>
    <t>IF([KLS_ENTREPRISE DU GROUPE] = "VRAI",'Y','N')</t>
  </si>
  <si>
    <t>IF([KLS_EMPRUNTEUR JEUNE AGRI] = "VRAI",'Y','N')</t>
  </si>
  <si>
    <t>IF([KLS_MONTANT PRET APRES CONTRAT] = 0,[KLS_MONTANT PRET],[KLS_MONTANT PRET APRES CONTRAT])</t>
  </si>
  <si>
    <t>IF([R3_CAPITAL RESTANT DU REEL] =[R3_CAPITAL RESTANT DU THEORIQUE],'N','Y')</t>
  </si>
  <si>
    <t>IF([KLS_ENTREPRISE DU GROUPE]='VRAI','Y','N')</t>
  </si>
  <si>
    <t>IF([KLS_EMPRUNTEUR JEUNE AGRI]='VRAI','Y','N')</t>
  </si>
  <si>
    <t>IF([KLS_MONTANT PRET APRES CONTRAT] = 0,[KLS_MONTANT ELIGIBLE FEI],[KLS_MONTANT PRET APRES CONTRAT])</t>
  </si>
  <si>
    <t>KLS_NAME</t>
  </si>
  <si>
    <r>
      <t>NP_FEI_</t>
    </r>
    <r>
      <rPr>
        <sz val="10"/>
        <color rgb="FF00B050"/>
        <rFont val="Arial"/>
        <family val="2"/>
      </rPr>
      <t>AAAA.MM</t>
    </r>
    <r>
      <rPr>
        <sz val="10"/>
        <color rgb="FF000000"/>
        <rFont val="Arial"/>
        <family val="2"/>
      </rPr>
      <t>.xlsx</t>
    </r>
  </si>
  <si>
    <r>
      <rPr>
        <sz val="10"/>
        <color rgb="FF000000"/>
        <rFont val="Arial"/>
        <family val="2"/>
      </rPr>
      <t>NP_Extraction_EGF_</t>
    </r>
    <r>
      <rPr>
        <sz val="10"/>
        <color rgb="FF00B050"/>
        <rFont val="Arial"/>
        <family val="2"/>
      </rPr>
      <t>AAAA.MM</t>
    </r>
    <r>
      <rPr>
        <sz val="10"/>
        <color rgb="FF000000"/>
        <rFont val="Arial"/>
        <family val="2"/>
      </rPr>
      <t>.xlsx</t>
    </r>
  </si>
  <si>
    <t>DURABILITE</t>
  </si>
  <si>
    <t>INNOVATION</t>
  </si>
  <si>
    <t>Adresse email du bénéficiaire</t>
  </si>
  <si>
    <t>Nationalité du bénéficiaire</t>
  </si>
  <si>
    <t>Le bénéficiaire est-il une personne physique ?</t>
  </si>
  <si>
    <t>L’entreprise est-elle en phase de démarrage ou d’installation agricole?</t>
  </si>
  <si>
    <t>Quel type d’investissement est financé ?</t>
  </si>
  <si>
    <t>Fréquence de paiement des intérêts/ des coupons</t>
  </si>
  <si>
    <t>Type de collatéral</t>
  </si>
  <si>
    <t>Niveau de couverture de collatéral</t>
  </si>
  <si>
    <t>Autorisation d’intérêts additionnels</t>
  </si>
  <si>
    <t>(A) Capacité supplémentaire de production d’énergie renouvelable et d’autres énergies sûre et durables à émissions nulles et à faibles émissions installée (MW)</t>
  </si>
  <si>
    <t>(B) Estimation des économies d’énergie primaire générées par les projets en kWh/an</t>
  </si>
  <si>
    <t>(C) Émissions annuelles de gaz à effet de serre réduites/évitées en tonnes d’équivalent CO2/an</t>
  </si>
  <si>
    <t>(D) Capacité de stockage en kWh</t>
  </si>
  <si>
    <t>KLS_ADRESSE_MAIL</t>
  </si>
  <si>
    <t>KLS_NATIONALITE</t>
  </si>
  <si>
    <t>KLS_PERSONNE_PHYSIQUE</t>
  </si>
  <si>
    <t>KLS_TYPE_INVEST</t>
  </si>
  <si>
    <t>KLS_FREQUENCES_INT</t>
  </si>
  <si>
    <t>KLS_TYPE_COLLATERAL</t>
  </si>
  <si>
    <t>KLS_NIVEAU_COUV</t>
  </si>
  <si>
    <t>KLS_INT_ADD</t>
  </si>
  <si>
    <t>KLS_SUPPL_PROD</t>
  </si>
  <si>
    <t>KLS_ESTIM_ECONOMIE</t>
  </si>
  <si>
    <t>KLS_ESTIM_ECO_CO2</t>
  </si>
  <si>
    <t>KLS_CAPACITE_STOCK</t>
  </si>
  <si>
    <t/>
  </si>
  <si>
    <t>KLS_NOM BENEFICIAIRE</t>
  </si>
  <si>
    <t>KLS_DEPARTEMENT</t>
  </si>
  <si>
    <t>KLS_PAYS_INVEST</t>
  </si>
  <si>
    <t>[KLS_DEPARTEMENT]</t>
  </si>
  <si>
    <t>IF([KLS_PAYS_INVEST] = "",'FR',[KLS_PAYS_INVEST])</t>
  </si>
  <si>
    <t>[KLS_TYPE_INVEST]</t>
  </si>
  <si>
    <r>
      <t>APV_INAF_</t>
    </r>
    <r>
      <rPr>
        <sz val="10"/>
        <color rgb="FF00B050"/>
        <rFont val="Arial"/>
        <family val="2"/>
      </rPr>
      <t>AAAA.QQ</t>
    </r>
    <r>
      <rPr>
        <sz val="10"/>
        <color theme="1"/>
        <rFont val="Arial"/>
        <family val="2"/>
      </rPr>
      <t>.xlsx</t>
    </r>
  </si>
  <si>
    <t>APV_FOSTER_AAAA.QQ.xlsx</t>
  </si>
  <si>
    <t>APV_EGFNC_AAAA.QQ.xlsx</t>
  </si>
  <si>
    <t>APV_EGFC_AAAA.QQ.xlsx</t>
  </si>
  <si>
    <t>APV_ALTERNA_AAAA.QQ.xlsx</t>
  </si>
  <si>
    <t>ND</t>
  </si>
  <si>
    <t>IF([R3_MONTANT PRET ACCORDE]=0,[R3_MONTANT DES FONDS REMIS],[R3_MONTANT PRET ACCORDE])</t>
  </si>
  <si>
    <r>
      <t>NP_TERME_ECHU_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</si>
  <si>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t>Sheet1</t>
  </si>
  <si>
    <t>TERME_ECHU</t>
  </si>
  <si>
    <t>Final Recipient National ID Type</t>
  </si>
  <si>
    <t>"FR-SIREN Number"</t>
  </si>
  <si>
    <t>Type of enterprise (SME/SMC)</t>
  </si>
  <si>
    <t>[KLS_NAME]</t>
  </si>
  <si>
    <t>[BASE_VALIDITE_COMMENTAIRE]</t>
  </si>
  <si>
    <t>EGF_NON_CAPEE_ENT</t>
  </si>
  <si>
    <t>EGF NON CAPEE</t>
  </si>
  <si>
    <t>EGF_CAPEE_ENT</t>
  </si>
  <si>
    <t>EGF CAPEE</t>
  </si>
  <si>
    <t>EGF_NON_CAPEE_AGRI</t>
  </si>
  <si>
    <t>EGF_CAPEE_AGRI</t>
  </si>
  <si>
    <t>EGF CAPEE  Model.xlsx</t>
  </si>
  <si>
    <t>EGF CAPEE QQ_AAAA Table A1</t>
  </si>
  <si>
    <t>EGF CAPEE QQ_AAAA Table A2</t>
  </si>
  <si>
    <t>EGF CAPEE QQ_AAAA Table B</t>
  </si>
  <si>
    <t>EGF NON CAPEE Model.xlsx</t>
  </si>
  <si>
    <t>EGF NON CAPEE QQ_AAAA Table A1</t>
  </si>
  <si>
    <t>EGF NON CAPEE QQ_AAAA Table A2</t>
  </si>
  <si>
    <t>EGF NON CAPEE QQ_AAAA Table B</t>
  </si>
  <si>
    <t>IF([R3_MONTANT DES FONDS REMIS] =[R3_MONTANT PRET ACCORDE],'Y','N')</t>
  </si>
  <si>
    <t>FOSTER2 AGRI</t>
  </si>
  <si>
    <t>FOSTER2 PRO</t>
  </si>
  <si>
    <t>KLS_CHIFFRES AFFAIRES AU NIVEAU CONSOLIDE</t>
  </si>
  <si>
    <t>KLS_TOTAL BILAN AU NIVEAU CONSOLIDE</t>
  </si>
  <si>
    <t>KLS_NBR EMPLOYES AU NIVEAU CONSOLIDE</t>
  </si>
  <si>
    <t>Montant des aides de minimis reçues au cours des trois dernières années</t>
  </si>
  <si>
    <t>KLS_MONTANT DES AIDES DE MINIMIS RECUES AU COURS DES TROIS DERNIERES ANNEES</t>
  </si>
  <si>
    <t>Type de PME</t>
  </si>
  <si>
    <t>KLS_TYPE_DE_PME</t>
  </si>
  <si>
    <t>KLS_DATE DE NAISSANCE DU SIGNATAIRE DU PRÊT</t>
  </si>
  <si>
    <t>KLS_GENRE DU SIGNATAIRE DU PRÊT</t>
  </si>
  <si>
    <t>A.1.10.1</t>
  </si>
  <si>
    <t>Number of employees consolited</t>
  </si>
  <si>
    <t>[KLS_NBR EMPLOYES AU NIVEAU CONSOLIDE]</t>
  </si>
  <si>
    <t>A.1.11.1</t>
  </si>
  <si>
    <t>Total Turnover consolided as per the EC</t>
  </si>
  <si>
    <t>A.1.12.1</t>
  </si>
  <si>
    <t>Total Assets consolided as per the EC</t>
  </si>
  <si>
    <t>A.1.13N</t>
  </si>
  <si>
    <t>FOSTER2 PRO QQ_AAAA Table A2</t>
  </si>
  <si>
    <t>Amortisation Profile</t>
  </si>
  <si>
    <t>Interest rate/margin</t>
  </si>
  <si>
    <t>Thématic objectives</t>
  </si>
  <si>
    <t>Type of collateral</t>
  </si>
  <si>
    <t>A.2.16.1</t>
  </si>
  <si>
    <t>Publication Y/N</t>
  </si>
  <si>
    <t>A.2.17.</t>
  </si>
  <si>
    <t>Crédit Event Y/N</t>
  </si>
  <si>
    <t>CréditEvent Date</t>
  </si>
  <si>
    <t>Region (NUTS Code 3)</t>
  </si>
  <si>
    <t>Sector (NACE Code 4)</t>
  </si>
  <si>
    <t>Type of Final Recipient</t>
  </si>
  <si>
    <t>[KLS_TYPE EMPRUNTEUR]</t>
  </si>
  <si>
    <t xml:space="preserve">Birth date of signatory of the Final Recipient Transaction </t>
  </si>
  <si>
    <t>[KLS_DATE DE NAISSANCE DU SIGNATAIRE DU PRÊT]</t>
  </si>
  <si>
    <t>Gender signatory of the Final Recipient Transaction</t>
  </si>
  <si>
    <t>[KLS_GENRE DU SIGNATAIRE DU PRÊT]</t>
  </si>
  <si>
    <t>Activity Sector of Investlent (NACE Code 4)</t>
  </si>
  <si>
    <t>Investment location (NUTS code 3)</t>
  </si>
  <si>
    <t>A.2.17.1</t>
  </si>
  <si>
    <t>A.2.18.</t>
  </si>
  <si>
    <t>A.2.19.</t>
  </si>
  <si>
    <t>Product category (CN code)</t>
  </si>
  <si>
    <t>Agri branch</t>
  </si>
  <si>
    <t xml:space="preserve">Strategic Direction </t>
  </si>
  <si>
    <t>[KLS_TYPE_COLLATERAL]</t>
  </si>
  <si>
    <t>[KLS_NIVEAU_COUV]</t>
  </si>
  <si>
    <t>Invest EU</t>
  </si>
  <si>
    <t>[KLS_ADRESSE_MAIL]</t>
  </si>
  <si>
    <t>[KLS_NATIONALITE]</t>
  </si>
  <si>
    <t>[KLS_FREQUENCES_INT]</t>
  </si>
  <si>
    <t>FOSTER2 PRO Model.xlsx</t>
  </si>
  <si>
    <t>FOSTER2 PRO QQ_AAAA Table A1</t>
  </si>
  <si>
    <t>FOSTER2 PRO QQ_AAAA Table B</t>
  </si>
  <si>
    <t>FOSTER2 PRO QQ_AAAA Table E</t>
  </si>
  <si>
    <t>FOSTER2 PRO QQ_AAAA Table C1</t>
  </si>
  <si>
    <t>FOSTER2 AGRI Model.xlsx</t>
  </si>
  <si>
    <t>FOSTER2 AGRI QQ_AAAA Table A1</t>
  </si>
  <si>
    <t>FOSTER2 AGRI QQ_AAAA Table A2</t>
  </si>
  <si>
    <t>FOSTER2 AGRI QQ_AAAA Table B</t>
  </si>
  <si>
    <t>FOSTER2 AGRI QQ_AAAA Table E</t>
  </si>
  <si>
    <t>FOSTER2 AGRI QQ_AAAA Table C1</t>
  </si>
  <si>
    <r>
      <t>APV_INVEST EU_</t>
    </r>
    <r>
      <rPr>
        <sz val="10"/>
        <color rgb="FF00B050"/>
        <rFont val="Arial"/>
        <family val="2"/>
      </rPr>
      <t>AAAA.QQ</t>
    </r>
    <r>
      <rPr>
        <sz val="10"/>
        <rFont val="Arial"/>
        <family val="2"/>
      </rPr>
      <t>.xlsx</t>
    </r>
  </si>
  <si>
    <r>
      <t>APV_FOSTER2 PRO_</t>
    </r>
    <r>
      <rPr>
        <sz val="10"/>
        <color rgb="FF00B050"/>
        <rFont val="Arial"/>
        <family val="2"/>
      </rPr>
      <t>AAAA.QQ</t>
    </r>
    <r>
      <rPr>
        <sz val="10"/>
        <rFont val="Arial"/>
        <family val="2"/>
      </rPr>
      <t>.xlsx</t>
    </r>
  </si>
  <si>
    <r>
      <t>APV_FOSTER2 AGRI_</t>
    </r>
    <r>
      <rPr>
        <sz val="10"/>
        <color rgb="FF00B050"/>
        <rFont val="Arial"/>
        <family val="2"/>
      </rPr>
      <t>AAAA.QQ</t>
    </r>
    <r>
      <rPr>
        <sz val="10"/>
        <rFont val="Arial"/>
        <family val="2"/>
      </rPr>
      <t>.xlsx</t>
    </r>
  </si>
  <si>
    <t>KLS_ENT_DEMARRAGE</t>
  </si>
  <si>
    <r>
      <t>NP_INVEST_EU_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</si>
  <si>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t>CAT_PRET-CATEGORIE DE PRET</t>
  </si>
  <si>
    <t>Pays de l’investissement</t>
  </si>
  <si>
    <t>Calcul de l’ESB</t>
  </si>
  <si>
    <t>Chiffre d’affaires</t>
  </si>
  <si>
    <t>Chiffre d’affaires au niveau consolidé</t>
  </si>
  <si>
    <t>Code postal de l’investissement</t>
  </si>
  <si>
    <t>Date de contractualisation de l’objet de financement</t>
  </si>
  <si>
    <t>Date de création de l’entreprise</t>
  </si>
  <si>
    <t>L’emprunteur est-il un jeune agriculteur ?</t>
  </si>
  <si>
    <t>L’entreprise fait-elle partie d’un groupe ?</t>
  </si>
  <si>
    <t>N° d’immatriculation (SIRET ou N° Fiscal)</t>
  </si>
  <si>
    <t>N° d’opération</t>
  </si>
  <si>
    <t>N° et nom de la rue de l’investissement</t>
  </si>
  <si>
    <t>Nombre d’employés</t>
  </si>
  <si>
    <t>Nombre d’employés au niveau consolidé</t>
  </si>
  <si>
    <t>Publication d’information autorisée</t>
  </si>
  <si>
    <t>Taille de l’exploitation</t>
  </si>
  <si>
    <t>Thématique d’investissement</t>
  </si>
  <si>
    <t>Type de l’objet de financement</t>
  </si>
  <si>
    <t>Type d’emprunteur</t>
  </si>
  <si>
    <t>Type d’investissement</t>
  </si>
  <si>
    <t>Ville de l’investissement</t>
  </si>
  <si>
    <t>DATE_ECH_ZERO-DATE D’ECHEANCE ZERO</t>
  </si>
  <si>
    <t>DOMAINE-CODE DOMAINE D’INTERVENTION</t>
  </si>
  <si>
    <t>DUR_TH_INI-DUREE INITIALE DU PRÊT A L’OCTROI</t>
  </si>
  <si>
    <t>DUR_TH_INI-DUREE INITIALE DU PRÊT A L’OCTROI-Mesure</t>
  </si>
  <si>
    <t>IDCAM à date d’arrété</t>
  </si>
  <si>
    <t>LOI_AMORT-LOI D’AMORTISSEMENT</t>
  </si>
  <si>
    <t>NUM_OPER-NUMERO D’OPERATION</t>
  </si>
  <si>
    <t>Foster2Pro</t>
  </si>
  <si>
    <t>Foster2Agri</t>
  </si>
  <si>
    <t>Total Bilan au niveau consolidé</t>
  </si>
  <si>
    <t>Date de naissance du signataire (emprunteur ou représentant de l’emprunteur personne morale)</t>
  </si>
  <si>
    <t>Genre du signataire (emprunteur ou représentant de l’emprunteur personne morale)</t>
  </si>
  <si>
    <t>Modèle de notation</t>
  </si>
  <si>
    <t>IF([KLS_PAYS] ='FRANCE','FR','FR')</t>
  </si>
  <si>
    <t>IF([KLS_PERSONNE_PHYSIQUE] = 'VRAI','Y','N')</t>
  </si>
  <si>
    <t>IF([KLS_ENT_DEMARRAGE] = 'VRAI','Y','N')</t>
  </si>
  <si>
    <t>IF([KLS_PUBLICATION INFORMATION AUTORISEE]="FAUX","N","Y")</t>
  </si>
  <si>
    <t>KLS_TYPE_INVEST_2</t>
  </si>
  <si>
    <t>[KLS_TYPE_INVEST_2]</t>
  </si>
  <si>
    <t>IF([KLS_PUBLICATION INFORMATION AUTORISEE]='FAUX','N','Y')</t>
  </si>
  <si>
    <t>FOSTER QQ_AAAA Table F</t>
  </si>
  <si>
    <t>New Transaction reference</t>
  </si>
  <si>
    <t>New UIC Number</t>
  </si>
  <si>
    <t>New Transaction Principal Amout</t>
  </si>
  <si>
    <t>New Transaction maturity (months)</t>
  </si>
  <si>
    <t>F.1</t>
  </si>
  <si>
    <t>F.2</t>
  </si>
  <si>
    <t>Modification first disbursement date</t>
  </si>
  <si>
    <t>Modification Signature date</t>
  </si>
  <si>
    <t>INVEST EU Table F</t>
  </si>
  <si>
    <t>New Final Recipient ID</t>
  </si>
  <si>
    <t>New Final Recipient Transaction ID</t>
  </si>
  <si>
    <t>New Final Recipient Transaction Principal amount</t>
  </si>
  <si>
    <t>New Final Recipient Transaction Maturity (months)</t>
  </si>
  <si>
    <t>FOSTER2 PRO QQ_AAAA Table F</t>
  </si>
  <si>
    <t>New Fiscal number (SIREN)</t>
  </si>
  <si>
    <t>FOSTER2 AGRI QQ_AAAA Table F</t>
  </si>
  <si>
    <t>[KLS_CHIFFRES AFFAIRES AU NIVEAU CONSOLIDE]</t>
  </si>
  <si>
    <t>[KLS_TOTAL BILAN AU NIVEAU CONSOLIDE]</t>
  </si>
  <si>
    <t>EGF NON CAPEE QQ_AAAA Table F</t>
  </si>
  <si>
    <t>New Fiscal number</t>
  </si>
  <si>
    <t>EGF CAPEE QQ_AAAA Table F</t>
  </si>
  <si>
    <t>ALTERNA QQ_AAAA Table F</t>
  </si>
  <si>
    <t>IF([KLS_TAUX REFERENCE]='NON CONCERNE','N/A',[KLS_TAUX REFERENCE])</t>
  </si>
  <si>
    <t>IF([KLS_PUBLICATION INFORMATION BENEF]='FAUX','N','Y')</t>
  </si>
  <si>
    <t>IF([KLS_TAUX REFERENCE]='Taux fixe','N/A',[KLS_TAUX REFERENCE])</t>
  </si>
  <si>
    <t>IF([KLS_PRET NOUVELLE GENERATION]='VRAI','Y','N')</t>
  </si>
  <si>
    <t>INAF QQ_AAAA Table F</t>
  </si>
  <si>
    <t>New SIRET</t>
  </si>
  <si>
    <t>Modification Transaction signature date</t>
  </si>
  <si>
    <t>IF([import]='DURABILITE','SMEW Sustainability','Innovation and Digitalisation')</t>
  </si>
  <si>
    <t>IF([import]='DURABILITE','0,5','0,7')</t>
  </si>
  <si>
    <t>IF([import]='DURABILITE','1,10','ID21')</t>
  </si>
  <si>
    <t>IF([import]='DURABILITE',[KLS_NOM BENEFICIAIRE],[KLS_NAME])</t>
  </si>
  <si>
    <t>AURA</t>
  </si>
  <si>
    <r>
      <t>NP_AURA_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</si>
  <si>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APV_AURA_</t>
    </r>
    <r>
      <rPr>
        <sz val="10"/>
        <color rgb="FF00B050"/>
        <rFont val="Arial"/>
        <family val="2"/>
      </rPr>
      <t>AAAA.QQ</t>
    </r>
    <r>
      <rPr>
        <sz val="10"/>
        <color theme="1"/>
        <rFont val="Arial"/>
        <family val="2"/>
      </rPr>
      <t>.xlsx</t>
    </r>
  </si>
  <si>
    <t>AURA Model.xlsx</t>
  </si>
  <si>
    <t>AURA QQ_AAAA Table A1</t>
  </si>
  <si>
    <t>AURA QQ_AAAA Table A2</t>
  </si>
  <si>
    <t>AURA QQ_AAAA Table B</t>
  </si>
  <si>
    <t>AURA QQ_AAAA Table E</t>
  </si>
  <si>
    <t>AURA QQ_AAAA Table F</t>
  </si>
  <si>
    <t>AURA QQ_AAAA Table C1</t>
  </si>
  <si>
    <t>Final Recipient ID (SIREN)</t>
  </si>
  <si>
    <t>Final Recipient Name</t>
  </si>
  <si>
    <t xml:space="preserve">Number of employees </t>
  </si>
  <si>
    <t xml:space="preserve">Total Turnover </t>
  </si>
  <si>
    <t xml:space="preserve">Total Assets </t>
  </si>
  <si>
    <t>Final Recipient Transaction ID</t>
  </si>
  <si>
    <t>Final Recipient Transaction type</t>
  </si>
  <si>
    <t>Final Recipient Transaction currency</t>
  </si>
  <si>
    <t>Total investment amount</t>
  </si>
  <si>
    <t>Final Recipient Transaction Principal Amout</t>
  </si>
  <si>
    <t>Final Recipient Transaction maturity (months)</t>
  </si>
  <si>
    <t>Final recipient Cumulated disbursed principal amount</t>
  </si>
  <si>
    <t>Final recipient  Transaction outstanding principal amount</t>
  </si>
  <si>
    <t>NORMANDIE</t>
  </si>
  <si>
    <r>
      <t>NP_NORMANDIE_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</si>
  <si>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APV_NORMANDIE_</t>
    </r>
    <r>
      <rPr>
        <sz val="10"/>
        <color rgb="FF00B050"/>
        <rFont val="Arial"/>
        <family val="2"/>
      </rPr>
      <t>AAAA.QQ</t>
    </r>
    <r>
      <rPr>
        <sz val="10"/>
        <color theme="1"/>
        <rFont val="Arial"/>
        <family val="2"/>
      </rPr>
      <t>.xlsx</t>
    </r>
  </si>
  <si>
    <t>NORMANDIE Model.xlsx</t>
  </si>
  <si>
    <t>NORMANDIE QQ_AAAA Table A1</t>
  </si>
  <si>
    <t>NORMANDIE QQ_AAAA Table A2</t>
  </si>
  <si>
    <t>NORMANDIE QQ_AAAA Table B</t>
  </si>
  <si>
    <t>NORMANDIE QQ_AAAA Table E</t>
  </si>
  <si>
    <t>NORMANDIE QQ_AAAA Table F</t>
  </si>
  <si>
    <t>NORMANDIE QQ_AAAA Table C1</t>
  </si>
  <si>
    <t>Product/Service category</t>
  </si>
  <si>
    <t>IF([KLS_TAUX REFERENCE]='N/A','N/A',[KLS_TAUX REFERENCE])</t>
  </si>
  <si>
    <r>
      <t>NP_FOSTER_2_</t>
    </r>
    <r>
      <rPr>
        <sz val="10"/>
        <color rgb="FF00B050"/>
        <rFont val="Arial"/>
        <family val="2"/>
      </rPr>
      <t>AAAA.MM</t>
    </r>
    <r>
      <rPr>
        <sz val="10"/>
        <color rgb="FF000000"/>
        <rFont val="Arial"/>
        <family val="2"/>
      </rPr>
      <t>.xlsx</t>
    </r>
  </si>
  <si>
    <r>
      <t>NORMANDIE_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</si>
  <si>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AURA_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</si>
  <si>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FOSTER_2_AGRI_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</si>
  <si>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FOSTER_2_PRO_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</si>
  <si>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INVEST_EU_INNOVATION_ET_DIGITALISATION_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</si>
  <si>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INVEST_EU_DURABILITE_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</si>
  <si>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FOSTER_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</si>
  <si>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INAF_2020_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</si>
  <si>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NOUVELLE_ENVELOPPE_ALTERN'A_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</si>
  <si>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EGF_CAPEE_MARCHE_PRO_AGRI_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</si>
  <si>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EGF_NON_CAPEE_MARCHE_PRO_AGRI_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</si>
  <si>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EGF_CAPEE_MARCHE_ENTREPRISES_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</si>
  <si>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r>
      <t>EGF_NON_CAPEE_MARCHE_ENTREPRISES_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</si>
  <si>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t>EGF CAPEE QQ_AAAA Table D</t>
  </si>
  <si>
    <t>EGF CAPEE QQ_AAAA Table E</t>
  </si>
  <si>
    <t>EGF NON CAPEE QQ_AAAA Table D</t>
  </si>
  <si>
    <t>EGF NON CAPEE QQ_AAAA Table E</t>
  </si>
  <si>
    <t>E/2/</t>
  </si>
  <si>
    <t>E/3/</t>
  </si>
  <si>
    <t>ALTERNA QQ_AAAA Table D</t>
  </si>
  <si>
    <t>FOSTER2 PRO QQ_AAAA Table D</t>
  </si>
  <si>
    <t>FOSTER2 AGRI QQ_AAAA Table D</t>
  </si>
  <si>
    <t>AURA QQ_AAAA Table D</t>
  </si>
  <si>
    <t>NORMANDIE QQ_AAAA Table D</t>
  </si>
  <si>
    <t>[KLS_NIVEAU_COUV]*[KLS_MONTANT PRET]</t>
  </si>
  <si>
    <t>Modification Profil Amortizement</t>
  </si>
  <si>
    <t>Commentaire</t>
  </si>
  <si>
    <t>[KLS_NIVEAU_COUV]*[KLS_MONTANT PRET APRES CONTRAT]</t>
  </si>
  <si>
    <t>Numéro d’immatriculation du prêt</t>
  </si>
  <si>
    <t>Distributeur</t>
  </si>
  <si>
    <t>[R3_DATE ARRETE BANQUE DE France]</t>
  </si>
  <si>
    <t>Date de défaut</t>
  </si>
  <si>
    <t>KLS_DATE DE DEFAUT</t>
  </si>
  <si>
    <t>[KLS_DATE DE DEFAUT]</t>
  </si>
  <si>
    <t>A.2.15.1</t>
  </si>
  <si>
    <t>Sub-thématic</t>
  </si>
  <si>
    <t>[KLS_SUPPL_PROD]</t>
  </si>
  <si>
    <t>IF([KLS_DATE DE DEFAUT]="","N",[KLS_DATE DE DEFAUT])</t>
  </si>
  <si>
    <t>IF([KLS_EXISTANCE MORATOIRE]=0,"N","Y")</t>
  </si>
  <si>
    <t>Département de l’investissement (NUTS 3)</t>
  </si>
  <si>
    <t>KLS_DEPARTEMENT_INVEST_NUTS3</t>
  </si>
  <si>
    <t>[KLS_DEPARTEMENT_INVEST_NUTS3]</t>
  </si>
  <si>
    <t>Département (NUTS 3)</t>
  </si>
  <si>
    <t>KLS_DEPARTEMENT_NUTS3</t>
  </si>
  <si>
    <t>[KLS_DEPARTEMENT_NUTS3]</t>
  </si>
  <si>
    <t>Région (NUTS 2)</t>
  </si>
  <si>
    <t>KLS_REGION_NUTS2</t>
  </si>
  <si>
    <t>[KLS_REGION_NUTS2]</t>
  </si>
  <si>
    <t>Foster</t>
  </si>
  <si>
    <t>[KLS_PAYS_INVEST]</t>
  </si>
  <si>
    <t xml:space="preserve">[KLS_MONTANT PRET APRES CONTRAT] </t>
  </si>
  <si>
    <t>[R3_MONTANT PRET ACCORDE]</t>
  </si>
  <si>
    <t>[KLS_PERSONNE_PHYSIQUE]</t>
  </si>
  <si>
    <t xml:space="preserve">[KLS_ENT_DEMARRAGE] </t>
  </si>
  <si>
    <t>[KLS_PUBLICATION INFORMATION BENEF]</t>
  </si>
  <si>
    <t>{"ID", "TAG", "EXCLUSION_REPORT", "BASE_TRIMESTRE_REPORTING", "BASE_VALIDITE_COMMENTAIRE", "BASE_DATE_MAJ_DOSSIER", "BASE_NUM_CR", "CLE_CORRESPONDANCE", "CLE_CORRESPONDANCE_2", "Clé Anomalie", "ENVELOPPE", "Commentaire", "KLS_ADRESSE", "KLS_BRANCHE AGRI", "KLS_CALCUL ESB", "KLS_CHIFFRES AFFAIRES AU NIVEAU CONSOLIDE", "KLS_CODE NAF", "KLS_CODE POSTAL", "KLS_CR PRET", "KLS_CURRENCY", "KLS_SIRET", "KLS_NUM PRET",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"KLS_NAME",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PRET", "KLS_TYPE_COLLATERAL", "KLS_TYPE_INVEST", "KLS_TYPE_INVEST_2", "KLS_VILLE"}</t>
  </si>
  <si>
    <t>{"ID"</t>
  </si>
  <si>
    <t xml:space="preserve"> "TAG"</t>
  </si>
  <si>
    <t xml:space="preserve"> "EXCLUSION_REPORT"</t>
  </si>
  <si>
    <t xml:space="preserve"> "BASE_TRIMESTRE_REPORTING"</t>
  </si>
  <si>
    <t xml:space="preserve"> "BASE_VALIDITE_COMMENTAIRE"</t>
  </si>
  <si>
    <t xml:space="preserve"> "BASE_DATE_MAJ_DOSSIER"</t>
  </si>
  <si>
    <t xml:space="preserve"> "BASE_NUM_CR"</t>
  </si>
  <si>
    <t xml:space="preserve"> "CLE_CORRESPONDANCE"</t>
  </si>
  <si>
    <t xml:space="preserve"> "CLE_CORRESPONDANCE_2"</t>
  </si>
  <si>
    <t xml:space="preserve"> "Clé Anomalie"</t>
  </si>
  <si>
    <t xml:space="preserve"> "ENVELOPPE"</t>
  </si>
  <si>
    <t xml:space="preserve"> "Commentaire"</t>
  </si>
  <si>
    <t xml:space="preserve"> "KLS_ADRESSE"</t>
  </si>
  <si>
    <t xml:space="preserve"> "KLS_BRANCHE AGRI"</t>
  </si>
  <si>
    <t xml:space="preserve"> "KLS_CALCUL ESB"</t>
  </si>
  <si>
    <t xml:space="preserve"> "KLS_CHIFFRES AFFAIRES AU NIVEAU CONSOLIDE"</t>
  </si>
  <si>
    <t xml:space="preserve"> "KLS_CODE NAF"</t>
  </si>
  <si>
    <t xml:space="preserve"> "KLS_CODE POSTAL"</t>
  </si>
  <si>
    <t xml:space="preserve"> "KLS_CR PRET"</t>
  </si>
  <si>
    <t xml:space="preserve"> "KLS_CURRENCY"</t>
  </si>
  <si>
    <t xml:space="preserve"> "KLS_SIRET"</t>
  </si>
  <si>
    <t xml:space="preserve"> "KLS_NUM PRET"</t>
  </si>
  <si>
    <t xml:space="preserve"> "KLS_DATE 1ER DEBLOCAGE"</t>
  </si>
  <si>
    <t xml:space="preserve"> "KLS_DATE CONTRACT OBJET FINANCEMENT"</t>
  </si>
  <si>
    <t xml:space="preserve"> "KLS_DATE CREATION ENTREPRISE"</t>
  </si>
  <si>
    <t xml:space="preserve"> "KLS_DATE DE DEFAUT"</t>
  </si>
  <si>
    <t xml:space="preserve"> "KLS_DATE DE NAISSANCE DU SIGNATAIRE DU PRÊT"</t>
  </si>
  <si>
    <t xml:space="preserve"> "KLS_DIFFERE PRET"</t>
  </si>
  <si>
    <t xml:space="preserve"> "KLS_DUREE PRET"</t>
  </si>
  <si>
    <t xml:space="preserve"> "KLS_ENTREPRISE DU GROUPE"</t>
  </si>
  <si>
    <t xml:space="preserve"> "KLS_GENRE DU SIGNATAIRE DU PRÊT"</t>
  </si>
  <si>
    <t xml:space="preserve"> "KLS_MODELE NOTATION"</t>
  </si>
  <si>
    <t xml:space="preserve"> "KLS_MONTANT BFR"</t>
  </si>
  <si>
    <t xml:space="preserve"> "KLS_MONTANT PRET APRES CONTRAT"</t>
  </si>
  <si>
    <t xml:space="preserve"> "KLS_MONTANT PROJET CLIENT"</t>
  </si>
  <si>
    <t xml:space="preserve"> "KLS_NAME"</t>
  </si>
  <si>
    <t xml:space="preserve"> "KLS_NBR EMPLOYES AU NIVEAU CONSOLIDE"</t>
  </si>
  <si>
    <t xml:space="preserve"> "KLS_NIVEAU_COUV"</t>
  </si>
  <si>
    <t xml:space="preserve"> "KLS_NOTATION EMPRUNTEUR"</t>
  </si>
  <si>
    <t xml:space="preserve"> "KLS_PAYS"</t>
  </si>
  <si>
    <t xml:space="preserve"> "KLS_PERIODICITE DU PRET"</t>
  </si>
  <si>
    <t xml:space="preserve"> "KLS_PRODUCT CATEGORY"</t>
  </si>
  <si>
    <t xml:space="preserve"> "KLS_PROFIL AMORT"</t>
  </si>
  <si>
    <t xml:space="preserve"> "KLS_PUBLICATION INFORMATION BENEF"</t>
  </si>
  <si>
    <t xml:space="preserve"> "KLS_REGION_NUTS2"</t>
  </si>
  <si>
    <t xml:space="preserve"> "KLS_STATUT DOSSIER"</t>
  </si>
  <si>
    <t xml:space="preserve"> "KLS_TAUX INTERET PRET"</t>
  </si>
  <si>
    <t xml:space="preserve"> "KLS_TAUX REFERENCE"</t>
  </si>
  <si>
    <t xml:space="preserve"> "KLS_THEMATIQUE INVEST"</t>
  </si>
  <si>
    <t xml:space="preserve"> "KLS_TOTAL BILAN AU NIVEAU CONSOLIDE"</t>
  </si>
  <si>
    <t xml:space="preserve"> "KLS_TYPE EMPRUNTEUR"</t>
  </si>
  <si>
    <t xml:space="preserve"> "KLS_TYPE PRET"</t>
  </si>
  <si>
    <t xml:space="preserve"> "KLS_TYPE_COLLATERAL"</t>
  </si>
  <si>
    <t xml:space="preserve"> "KLS_TYPE_INVEST"</t>
  </si>
  <si>
    <t xml:space="preserve"> "KLS_TYPE_INVEST_2"</t>
  </si>
  <si>
    <t xml:space="preserve"> "KLS_VILLE"}</t>
  </si>
  <si>
    <t>"KLS_NOM BENEFICIAIRE"</t>
  </si>
  <si>
    <t xml:space="preserve"> "KLS_VILLE"</t>
  </si>
  <si>
    <t xml:space="preserve"> "KLS_TYPE_INVEST_2"}</t>
  </si>
  <si>
    <t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PRET", "KLS_TYPE_COLLATERAL", "KLS_TYPE_INVEST", "KLS_TYPE_INVEST_2"}</t>
  </si>
  <si>
    <t>ID</t>
  </si>
  <si>
    <t>TAG</t>
  </si>
  <si>
    <t>BASE_TRIMESTRE_REPORTING</t>
  </si>
  <si>
    <t>BASE_VALIDITE_COMMENTAIRE</t>
  </si>
  <si>
    <t>CLE_CORRESPONDANCE</t>
  </si>
  <si>
    <t>CLE_CORRESPONDANCE_2</t>
  </si>
  <si>
    <t>Clé Anomalie</t>
  </si>
  <si>
    <t>EXCLUSION_REPORT</t>
  </si>
  <si>
    <t>BASE_DATE_MAJ_DOSSIER</t>
  </si>
  <si>
    <t>BASE_NUM_CR</t>
  </si>
  <si>
    <t>1. [KLS_SIRET]</t>
  </si>
  <si>
    <t>2. [KLS_NOM BENEFICIAIRE]</t>
  </si>
  <si>
    <t>3. [KLS_ADRESSE]</t>
  </si>
  <si>
    <t>4. [KLS_CODE POSTAL]</t>
  </si>
  <si>
    <t>5. [KLS_VILLE]</t>
  </si>
  <si>
    <t>6. [KLS_DEPARTEMENT_INVEST_NUTS3]</t>
  </si>
  <si>
    <t>7. [KLS_PAYS_INVEST]</t>
  </si>
  <si>
    <t>8. [KLS_DATE CREATION ENTREPRISE]</t>
  </si>
  <si>
    <t>9. [KLS_CODE NAF]</t>
  </si>
  <si>
    <t>10. [KLS_NBR EMPLOYES]</t>
  </si>
  <si>
    <t>11. [KLS_CHIFFRES AFFAIRES]</t>
  </si>
  <si>
    <t>12. [KLS_TOTAL BILAN]</t>
  </si>
  <si>
    <t>13. [KLS_ENTREPRISE DU GROUPE]</t>
  </si>
  <si>
    <t>14. [KLS_TAILLE EXPLOITATION]</t>
  </si>
  <si>
    <t>15. [KLS_EMPRUNTEUR JEUNE AGRI]</t>
  </si>
  <si>
    <t>16. [KLS_NUM PRET]</t>
  </si>
  <si>
    <t>17. [KLS_TYPE PRET]</t>
  </si>
  <si>
    <t>18. [KLS_TYPE OBJET FINANCEMENT]</t>
  </si>
  <si>
    <t>19. [KLS_MONTANT PROJET CLIENT]</t>
  </si>
  <si>
    <t>20. [KLS_MONTANT BFR]</t>
  </si>
  <si>
    <t>21. [KLS_MONTANT PRET APRES CONTRAT]</t>
  </si>
  <si>
    <t>22. [BASE_VALIDITE_COMMENTAIRE]</t>
  </si>
  <si>
    <t>23. [KLS_DUREE PRET]</t>
  </si>
  <si>
    <t>24. [KLS_DIFFERE PRET]</t>
  </si>
  <si>
    <t>25. [KLS_DATE CONTRACT OBJET FINANCEMENT]</t>
  </si>
  <si>
    <t>26. [KLS_PERIODICITE DU PRET]</t>
  </si>
  <si>
    <t>27. [KLS_DATE 1ER DEBLOCAGE]</t>
  </si>
  <si>
    <t>28. [KLS_CALCUL ESB]</t>
  </si>
  <si>
    <t>29. [KLS_TYPE_INVEST]</t>
  </si>
  <si>
    <t>30. [KLS_PRODUCT CATEGORY]</t>
  </si>
  <si>
    <t>31. [R3_MONTANT DES FONDS REMIS]</t>
  </si>
  <si>
    <t>32. [R3_CAPITAL RESTANT DU REEL]</t>
  </si>
  <si>
    <t>33. [R3_MONTANT PRET ACCORDE]</t>
  </si>
  <si>
    <t>34. [R3_CAPITAL RESTANT DU THEORIQUE]</t>
  </si>
  <si>
    <t>35. [KLS_DATE DE DEFAUT]</t>
  </si>
  <si>
    <t>36. [KLS_NOTATION EMPRUNTEUR]</t>
  </si>
  <si>
    <t>37. [R3_DATE ARRETE BANQUE DE France]</t>
  </si>
  <si>
    <t>38. [KLS_PAYS]</t>
  </si>
  <si>
    <t>39. [KLS_TYPE CIBLE]</t>
  </si>
  <si>
    <t>40. [KLS_PRET NOUVELLE GENERATION]</t>
  </si>
  <si>
    <t>41. [KLS_THEMATIQUE INVEST]</t>
  </si>
  <si>
    <t>42. [KLS_BRANCHE AGRI]</t>
  </si>
  <si>
    <t>43. [KLS_MONTANT ELIGIBLE FEI]</t>
  </si>
  <si>
    <t>44. [KLS_DEPARTEMENT_NUTS3]</t>
  </si>
  <si>
    <t>45. [KLS_NAME]</t>
  </si>
  <si>
    <t>46. [KLS_PUBLICATION INFORMATION AUTORISEE]</t>
  </si>
  <si>
    <t>47. [KLS_DATE CREATION DOSSIER]</t>
  </si>
  <si>
    <t>48. [KLS_MONTANT PRET]</t>
  </si>
  <si>
    <t>49. [KLS_EXISTANCE MORATOIRE]</t>
  </si>
  <si>
    <t>50. [KLS_ADRESSE_MAIL]</t>
  </si>
  <si>
    <t>51. [KLS_REGION_NUTS2]</t>
  </si>
  <si>
    <t>52. [KLS_NATIONALITE]</t>
  </si>
  <si>
    <t>53. [KLS_TYPE EMPRUNTEUR]</t>
  </si>
  <si>
    <t>54. [KLS_PERSONNE_PHYSIQUE]</t>
  </si>
  <si>
    <t>55. [KLS_ENT_DEMARRAGE]</t>
  </si>
  <si>
    <t>56. [KLS_PROFIL AMORT]</t>
  </si>
  <si>
    <t>57. [KLS_TAUX REFERENCE]</t>
  </si>
  <si>
    <t>58. [KLS_TAUX INTERET PRET]</t>
  </si>
  <si>
    <t>59. [KLS_FREQUENCES_INT]</t>
  </si>
  <si>
    <t>60. [KLS_TYPE_COLLATERAL]</t>
  </si>
  <si>
    <t>61. [KLS_NIVEAU_COUV]</t>
  </si>
  <si>
    <t>62. [KLS_PUBLICATION INFORMATION BENEF]</t>
  </si>
  <si>
    <t>63. [import]</t>
  </si>
  <si>
    <t>64. [KLS_NBR EMPLOYES AU NIVEAU CONSOLIDE]</t>
  </si>
  <si>
    <t>65. [KLS_CHIFFRES AFFAIRES AU NIVEAU CONSOLIDE]</t>
  </si>
  <si>
    <t>66. [KLS_TOTAL BILAN AU NIVEAU CONSOLIDE]</t>
  </si>
  <si>
    <t>67. [KLS_TYPE_INVEST_2]</t>
  </si>
  <si>
    <t>68. [KLS_DATE DE NAISSANCE DU SIGNATAIRE DU PRÊT]</t>
  </si>
  <si>
    <t>69. [KLS_GENRE DU SIGNATAIRE DU PRÊT]</t>
  </si>
  <si>
    <t>70. [KLS_SUPPL_PROD]</t>
  </si>
  <si>
    <t>import</t>
  </si>
  <si>
    <t>DATE_BDF-DATE D'ARRETE BANQUE DE FRANCE</t>
  </si>
  <si>
    <t>IF([import]='DURABILITE',[KLS_TYPE_INVEST_2],'ID21')</t>
  </si>
  <si>
    <r>
      <t>APV_INAF_2025_</t>
    </r>
    <r>
      <rPr>
        <sz val="10"/>
        <color rgb="FF00B050"/>
        <rFont val="Arial"/>
        <family val="2"/>
      </rPr>
      <t>AAAA.QQ</t>
    </r>
    <r>
      <rPr>
        <sz val="10"/>
        <color theme="1"/>
        <rFont val="Arial"/>
        <family val="2"/>
      </rPr>
      <t>.xlsx</t>
    </r>
  </si>
  <si>
    <r>
      <t>INAF_2025_</t>
    </r>
    <r>
      <rPr>
        <sz val="10"/>
        <color rgb="FF00B050"/>
        <rFont val="Arial"/>
        <family val="2"/>
      </rPr>
      <t>AAAA.MM</t>
    </r>
    <r>
      <rPr>
        <sz val="10"/>
        <color theme="1"/>
        <rFont val="Arial"/>
        <family val="2"/>
      </rPr>
      <t>.xlsx</t>
    </r>
  </si>
  <si>
    <t>INAF_2025</t>
  </si>
  <si>
    <t>INAF 2025</t>
  </si>
  <si>
    <t>Taux de référence du financement</t>
  </si>
  <si>
    <t>KLS_TAUX REFERENCE FINANCEMENT</t>
  </si>
  <si>
    <t>L’emprunteur est-il issu du milieu agricole ?</t>
  </si>
  <si>
    <t>KLS_EMPRUNTEUR MILIEU AGRI</t>
  </si>
  <si>
    <t>Identification du label</t>
  </si>
  <si>
    <t>KLS_ID LABEL</t>
  </si>
  <si>
    <t>INAF 2025 Model.xlsx</t>
  </si>
  <si>
    <t>INAF 2025 QQ_AAAA Table PD</t>
  </si>
  <si>
    <t>Eligible Final Recipient type</t>
  </si>
  <si>
    <t xml:space="preserve"> Transaction Reference</t>
  </si>
  <si>
    <t>Transaction Type</t>
  </si>
  <si>
    <t>Permitted Purpose activities</t>
  </si>
  <si>
    <t>Activity Sector of Investment (NACE Code 4)</t>
  </si>
  <si>
    <t>Transaction Principal Amount</t>
  </si>
  <si>
    <t>Thematic Focus of investment</t>
  </si>
  <si>
    <t>Agricultural Branch</t>
  </si>
  <si>
    <t>Standard Transaction Interest Rate</t>
  </si>
  <si>
    <t>Inaf transaction Interest Rate</t>
  </si>
  <si>
    <t>label Identification</t>
  </si>
  <si>
    <t>Agricultural Background</t>
  </si>
  <si>
    <t>[KLS_ID LABEL]</t>
  </si>
  <si>
    <t>[KLS_EMPRUNTEUR MILIEU AGRI]</t>
  </si>
  <si>
    <t>[R3_REAL DATE DE PREMIERE REALISATION]</t>
  </si>
  <si>
    <t>INVEST EU Table S3</t>
  </si>
  <si>
    <t>S.3.1</t>
  </si>
  <si>
    <t>S.3.2</t>
  </si>
  <si>
    <t>S.3.3</t>
  </si>
  <si>
    <t>S.3.4</t>
  </si>
  <si>
    <t xml:space="preserve">Additional renewable and other safe and sustainable zero and low-emission energy generation capacity installed (MW) </t>
  </si>
  <si>
    <t xml:space="preserve"> Estimated primary energy savings generated by the projects in kWh/year </t>
  </si>
  <si>
    <t>Annual green-house gas emissions reduced/avoided in tonnes of CO2 equivalent/year</t>
  </si>
  <si>
    <t xml:space="preserve">kWh storage capacity </t>
  </si>
  <si>
    <t>IF([KLS_TYPE_INVEST_2]='2.1.6',[KLS_CAPACITE_STOCK],'-')</t>
  </si>
  <si>
    <t>[KLS_NOUVEAU NUM PRÊT]</t>
  </si>
  <si>
    <t>[KLS_NOUVELLE DUREE PRÊT]</t>
  </si>
  <si>
    <t>[KLS_NOUVELLE PERIODICITE DU PRÊT]</t>
  </si>
  <si>
    <t>[KLS_NOUVEAU SIRET]</t>
  </si>
  <si>
    <t>IF(OR([KLS_TYPE_INVEST_2]='2.1.1',[KLS_TYPE_INVEST_2]='2.1.2',[KLS_TYPE_INVEST_2]='2.1.3',[KLS_TYPE_INVEST_2]='2.1.4'),[KLS_SUPPL_PROD],'-')</t>
  </si>
  <si>
    <t>IF(OR([KLS_TYPE_INVEST_2]='2.2.1',[KLS_TYPE_INVEST_2]='2.2.2',[KLS_TYPE_INVEST_2]='2.2.3',[KLS_TYPE_INVEST_2]='2.3.1',[KLS_TYPE_INVEST_2]='2.3.2',[KLS_TYPE_INVEST_2]='2.4.1',[KLS_TYPE_INVEST_2]='2.4.2'),[KLS_ESTIM_ECONOMIE],'-')</t>
  </si>
  <si>
    <t>IF(OR([KLS_TYPE_INVEST_2]='2.2.1',[KLS_TYPE_INVEST_2]='2.2.2',[KLS_TYPE_INVEST_2]='2.2.3',[KLS_TYPE_INVEST_2]='2.3.1',[KLS_TYPE_INVEST_2]='2.3.2',[KLS_TYPE_INVEST_2]='2.4.1',[KLS_TYPE_INVEST_2]='2.4.2'),[KLS_ESTIM_ECO_CO2],'-')</t>
  </si>
  <si>
    <t>NP_INAF_2025_AAAA.MM.xlsx</t>
  </si>
  <si>
    <t>INAF_2025 QQ_AAAA Table A1</t>
  </si>
  <si>
    <t>INAF_2025 QQ_AAAA Table A2</t>
  </si>
  <si>
    <t>INAF_2025 QQ_AAAA Table B</t>
  </si>
  <si>
    <t>INAF_2025 QQ_AAAA Table D</t>
  </si>
  <si>
    <t>INAF_2025 QQ_AAAA Table E</t>
  </si>
  <si>
    <t>INAF_2025 QQ_AAAA Table F</t>
  </si>
  <si>
    <t>[KLS_TAUX REFERENCE FINANCEMENT]/100</t>
  </si>
  <si>
    <t>LEFT([KLS_NOUVEAU SIRET],9)</t>
  </si>
  <si>
    <t>VALEUR REPORTING DEFAUT</t>
  </si>
  <si>
    <t>VALEUR REPORTING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</si>
</sst>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_-;\-* #,##0_-;_-* &quot;-&quot;??_-;_-@_-"/>
    <numFmt numFmtId="166" formatCode="_ * #,##0.00_)_ ;_ * \(#,##0.00\)_ ;_ * &quot;-&quot;??_)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10"/>
      <color rgb="FF00B050"/>
      <name val="Arial"/>
      <family val="2"/>
    </font>
    <font>
      <sz val="12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B0F0"/>
      <name val="Calibri"/>
      <family val="2"/>
      <scheme val="minor"/>
    </font>
    <font>
      <sz val="10"/>
      <color rgb="FF00B0F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9">
    <xf numFmtId="0" fontId="0" fillId="0" borderId="0"/>
    <xf numFmtId="0" fontId="1" fillId="0" borderId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10" fillId="0" borderId="0"/>
  </cellStyleXfs>
  <cellXfs count="9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2" fillId="2" borderId="2" xfId="1" applyFont="1" applyFill="1" applyBorder="1" applyAlignment="1">
      <alignment horizontal="left" vertical="center" wrapText="1"/>
    </xf>
    <xf numFmtId="1" fontId="2" fillId="2" borderId="1" xfId="1" applyNumberFormat="1" applyFont="1" applyFill="1" applyBorder="1" applyAlignment="1">
      <alignment horizontal="left" vertical="center" wrapText="1"/>
    </xf>
    <xf numFmtId="165" fontId="2" fillId="2" borderId="1" xfId="1" applyNumberFormat="1" applyFont="1" applyFill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left" vertical="center" wrapText="1"/>
    </xf>
    <xf numFmtId="14" fontId="2" fillId="2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3" borderId="3" xfId="0" applyFont="1" applyFill="1" applyBorder="1" applyAlignment="1">
      <alignment horizont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/>
    <xf numFmtId="0" fontId="6" fillId="0" borderId="7" xfId="0" applyFont="1" applyBorder="1" applyAlignment="1">
      <alignment vertical="center" readingOrder="1"/>
    </xf>
    <xf numFmtId="0" fontId="8" fillId="0" borderId="7" xfId="0" applyFont="1" applyBorder="1" applyAlignment="1">
      <alignment vertical="center" readingOrder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8"/>
    <xf numFmtId="0" fontId="0" fillId="0" borderId="7" xfId="0" applyBorder="1"/>
    <xf numFmtId="0" fontId="4" fillId="3" borderId="0" xfId="0" applyFont="1" applyFill="1"/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12" fillId="4" borderId="0" xfId="0" applyFont="1" applyFill="1"/>
    <xf numFmtId="0" fontId="13" fillId="0" borderId="0" xfId="0" applyFont="1" applyAlignment="1">
      <alignment horizontal="left"/>
    </xf>
    <xf numFmtId="0" fontId="15" fillId="0" borderId="7" xfId="0" applyFont="1" applyBorder="1" applyAlignment="1">
      <alignment vertical="center" readingOrder="1"/>
    </xf>
    <xf numFmtId="0" fontId="14" fillId="0" borderId="7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1" fillId="0" borderId="0" xfId="0" applyFont="1"/>
    <xf numFmtId="0" fontId="5" fillId="0" borderId="0" xfId="0" applyFont="1"/>
    <xf numFmtId="1" fontId="2" fillId="2" borderId="1" xfId="1" applyNumberFormat="1" applyFont="1" applyFill="1" applyBorder="1" applyAlignment="1">
      <alignment horizontal="left" vertical="center"/>
    </xf>
    <xf numFmtId="0" fontId="5" fillId="4" borderId="0" xfId="0" applyFont="1" applyFill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6" fillId="3" borderId="5" xfId="0" applyFont="1" applyFill="1" applyBorder="1" applyAlignment="1">
      <alignment horizontal="center"/>
    </xf>
    <xf numFmtId="0" fontId="17" fillId="0" borderId="0" xfId="0" applyFont="1" applyAlignment="1">
      <alignment vertical="center" readingOrder="1"/>
    </xf>
    <xf numFmtId="0" fontId="17" fillId="0" borderId="7" xfId="0" applyFont="1" applyBorder="1" applyAlignment="1">
      <alignment vertical="center" readingOrder="1"/>
    </xf>
    <xf numFmtId="0" fontId="18" fillId="0" borderId="7" xfId="0" applyFont="1" applyBorder="1" applyAlignment="1">
      <alignment vertical="center" readingOrder="1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0" borderId="7" xfId="0" applyFont="1" applyBorder="1"/>
    <xf numFmtId="0" fontId="6" fillId="0" borderId="2" xfId="0" applyFont="1" applyBorder="1" applyAlignment="1">
      <alignment vertical="center" readingOrder="1"/>
    </xf>
    <xf numFmtId="0" fontId="0" fillId="0" borderId="8" xfId="0" applyBorder="1"/>
    <xf numFmtId="0" fontId="0" fillId="0" borderId="2" xfId="0" applyBorder="1"/>
    <xf numFmtId="0" fontId="18" fillId="0" borderId="6" xfId="0" applyFont="1" applyBorder="1" applyAlignment="1">
      <alignment vertical="center" readingOrder="1"/>
    </xf>
    <xf numFmtId="0" fontId="18" fillId="0" borderId="2" xfId="0" applyFont="1" applyBorder="1" applyAlignment="1">
      <alignment vertical="center" readingOrder="1"/>
    </xf>
    <xf numFmtId="0" fontId="0" fillId="0" borderId="6" xfId="0" applyBorder="1"/>
    <xf numFmtId="0" fontId="12" fillId="0" borderId="6" xfId="0" applyFont="1" applyBorder="1"/>
    <xf numFmtId="0" fontId="12" fillId="0" borderId="2" xfId="0" applyFont="1" applyBorder="1"/>
    <xf numFmtId="0" fontId="1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4" fillId="6" borderId="9" xfId="0" applyFont="1" applyFill="1" applyBorder="1"/>
    <xf numFmtId="0" fontId="4" fillId="6" borderId="10" xfId="0" applyFont="1" applyFill="1" applyBorder="1"/>
    <xf numFmtId="1" fontId="4" fillId="6" borderId="10" xfId="0" applyNumberFormat="1" applyFont="1" applyFill="1" applyBorder="1" applyAlignment="1">
      <alignment horizontal="left"/>
    </xf>
    <xf numFmtId="0" fontId="4" fillId="6" borderId="11" xfId="0" applyFont="1" applyFill="1" applyBorder="1"/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" fontId="2" fillId="2" borderId="2" xfId="1" applyNumberFormat="1" applyFont="1" applyFill="1" applyBorder="1" applyAlignment="1">
      <alignment horizontal="left" vertical="center" wrapText="1"/>
    </xf>
    <xf numFmtId="1" fontId="23" fillId="2" borderId="1" xfId="1" applyNumberFormat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1" fontId="23" fillId="2" borderId="2" xfId="1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</cellXfs>
  <cellStyles count="9">
    <cellStyle name="Milliers 2" xfId="3" xr:uid="{00000000-0005-0000-0000-000000000000}"/>
    <cellStyle name="Milliers 2 2" xfId="5" xr:uid="{00000000-0005-0000-0000-000001000000}"/>
    <cellStyle name="Milliers 3" xfId="6" xr:uid="{00000000-0005-0000-0000-000002000000}"/>
    <cellStyle name="Monétaire 2" xfId="2" xr:uid="{00000000-0005-0000-0000-000003000000}"/>
    <cellStyle name="Normal" xfId="0" builtinId="0"/>
    <cellStyle name="Normal 2 2" xfId="1" xr:uid="{00000000-0005-0000-0000-000005000000}"/>
    <cellStyle name="Normal 2 2 2" xfId="7" xr:uid="{9BFB3D79-AF41-4735-B8C2-7B744340682F}"/>
    <cellStyle name="Normal 3" xfId="4" xr:uid="{00000000-0005-0000-0000-000006000000}"/>
    <cellStyle name="Normal 5" xfId="8" xr:uid="{A6A62D7A-96E7-480A-9ED5-1223428025CA}"/>
  </cellStyles>
  <dxfs count="8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2E75-EBBC-4FD5-AE60-B82759CFE4F1}">
  <sheetPr codeName="Feuil2"/>
  <dimension ref="A1:F43"/>
  <sheetViews>
    <sheetView workbookViewId="0">
      <selection activeCell="B8" sqref="B8"/>
    </sheetView>
  </sheetViews>
  <sheetFormatPr baseColWidth="10" defaultRowHeight="15" x14ac:dyDescent="0.25"/>
  <cols>
    <col min="1" max="1" width="54.42578125" bestFit="1" customWidth="1"/>
    <col min="2" max="2" width="24.28515625" bestFit="1" customWidth="1"/>
    <col min="3" max="3" width="8.140625" bestFit="1" customWidth="1"/>
    <col min="4" max="4" width="38.140625" customWidth="1"/>
    <col min="5" max="5" width="60.85546875" customWidth="1"/>
    <col min="6" max="6" width="16.7109375" bestFit="1" customWidth="1"/>
  </cols>
  <sheetData>
    <row r="1" spans="1:6" x14ac:dyDescent="0.25">
      <c r="A1" s="17" t="s">
        <v>417</v>
      </c>
      <c r="B1" s="17" t="s">
        <v>826</v>
      </c>
      <c r="C1" s="17" t="s">
        <v>418</v>
      </c>
      <c r="D1" s="17" t="s">
        <v>254</v>
      </c>
      <c r="E1" s="17" t="s">
        <v>813</v>
      </c>
      <c r="F1" s="17" t="s">
        <v>834</v>
      </c>
    </row>
    <row r="2" spans="1:6" x14ac:dyDescent="0.25">
      <c r="A2" s="32" t="s">
        <v>888</v>
      </c>
      <c r="B2" s="32"/>
      <c r="C2" s="70" t="s">
        <v>828</v>
      </c>
      <c r="D2" s="37"/>
      <c r="E2" s="72"/>
      <c r="F2" s="73"/>
    </row>
    <row r="3" spans="1:6" x14ac:dyDescent="0.25">
      <c r="A3" s="32" t="s">
        <v>1059</v>
      </c>
      <c r="B3" s="32"/>
      <c r="C3" s="33" t="s">
        <v>828</v>
      </c>
      <c r="D3" s="37"/>
      <c r="E3" s="37"/>
      <c r="F3" s="37"/>
    </row>
    <row r="4" spans="1:6" x14ac:dyDescent="0.25">
      <c r="A4" s="32" t="s">
        <v>887</v>
      </c>
      <c r="B4" s="32"/>
      <c r="C4" s="58" t="s">
        <v>828</v>
      </c>
      <c r="D4" s="37"/>
      <c r="E4" s="37"/>
      <c r="F4" s="37"/>
    </row>
    <row r="5" spans="1:6" x14ac:dyDescent="0.25">
      <c r="A5" s="32" t="s">
        <v>886</v>
      </c>
      <c r="B5" s="32"/>
      <c r="C5" s="58" t="s">
        <v>828</v>
      </c>
      <c r="D5" s="37"/>
      <c r="E5" s="37"/>
      <c r="F5" s="37"/>
    </row>
    <row r="6" spans="1:6" x14ac:dyDescent="0.25">
      <c r="A6" s="32" t="s">
        <v>885</v>
      </c>
      <c r="B6" s="32"/>
      <c r="C6" s="58" t="s">
        <v>828</v>
      </c>
      <c r="D6" s="37"/>
      <c r="E6" s="37"/>
      <c r="F6" s="37"/>
    </row>
    <row r="7" spans="1:6" x14ac:dyDescent="0.25">
      <c r="A7" s="57" t="s">
        <v>978</v>
      </c>
      <c r="B7" s="44"/>
      <c r="C7" s="58" t="s">
        <v>828</v>
      </c>
      <c r="D7" s="45"/>
      <c r="E7" s="45"/>
      <c r="F7" s="45"/>
    </row>
    <row r="8" spans="1:6" ht="15.75" customHeight="1" x14ac:dyDescent="0.25">
      <c r="A8" s="57" t="s">
        <v>977</v>
      </c>
      <c r="B8" s="44"/>
      <c r="C8" s="58" t="s">
        <v>828</v>
      </c>
      <c r="D8" s="45"/>
      <c r="E8" s="45"/>
      <c r="F8" s="45"/>
    </row>
    <row r="9" spans="1:6" ht="15.75" customHeight="1" x14ac:dyDescent="0.25">
      <c r="A9" s="32" t="s">
        <v>884</v>
      </c>
      <c r="B9" s="32"/>
      <c r="C9" s="58" t="s">
        <v>828</v>
      </c>
      <c r="E9" s="37"/>
      <c r="F9" s="37"/>
    </row>
    <row r="10" spans="1:6" ht="15.75" customHeight="1" x14ac:dyDescent="0.25">
      <c r="A10" s="57" t="s">
        <v>976</v>
      </c>
      <c r="B10" s="32"/>
      <c r="C10" s="58" t="s">
        <v>828</v>
      </c>
      <c r="E10" s="37"/>
      <c r="F10" s="37"/>
    </row>
    <row r="11" spans="1:6" ht="15.75" customHeight="1" x14ac:dyDescent="0.25">
      <c r="A11" s="32" t="s">
        <v>1082</v>
      </c>
      <c r="B11" s="32"/>
      <c r="C11" s="33" t="s">
        <v>828</v>
      </c>
      <c r="E11" s="37"/>
      <c r="F11" s="37"/>
    </row>
    <row r="12" spans="1:6" ht="15.75" customHeight="1" x14ac:dyDescent="0.25">
      <c r="A12" s="32" t="s">
        <v>1292</v>
      </c>
      <c r="B12" s="32"/>
      <c r="C12" s="33" t="s">
        <v>828</v>
      </c>
      <c r="E12" s="37"/>
      <c r="F12" s="37"/>
    </row>
    <row r="13" spans="1:6" s="46" customFormat="1" ht="15.75" customHeight="1" x14ac:dyDescent="0.25">
      <c r="A13" s="32" t="s">
        <v>1094</v>
      </c>
      <c r="B13" s="57" t="s">
        <v>1057</v>
      </c>
      <c r="C13" s="58" t="s">
        <v>422</v>
      </c>
      <c r="D13" s="56" t="s">
        <v>1057</v>
      </c>
      <c r="E13" s="45"/>
      <c r="F13" s="45"/>
    </row>
    <row r="14" spans="1:6" s="46" customFormat="1" ht="15.75" customHeight="1" x14ac:dyDescent="0.25">
      <c r="A14" s="32" t="s">
        <v>1104</v>
      </c>
      <c r="B14" s="32" t="s">
        <v>901</v>
      </c>
      <c r="C14" s="33" t="s">
        <v>422</v>
      </c>
      <c r="D14" s="41" t="s">
        <v>902</v>
      </c>
      <c r="E14" s="37"/>
      <c r="F14" s="37"/>
    </row>
    <row r="15" spans="1:6" s="46" customFormat="1" ht="15.75" customHeight="1" x14ac:dyDescent="0.25">
      <c r="A15" s="32" t="s">
        <v>1102</v>
      </c>
      <c r="B15" s="32" t="s">
        <v>904</v>
      </c>
      <c r="C15" s="33" t="s">
        <v>422</v>
      </c>
      <c r="D15" s="41" t="s">
        <v>902</v>
      </c>
      <c r="E15" s="37"/>
      <c r="F15" s="37"/>
    </row>
    <row r="16" spans="1:6" x14ac:dyDescent="0.25">
      <c r="A16" s="32" t="s">
        <v>1105</v>
      </c>
      <c r="B16" s="32" t="s">
        <v>899</v>
      </c>
      <c r="C16" s="33" t="s">
        <v>422</v>
      </c>
      <c r="D16" s="41" t="s">
        <v>900</v>
      </c>
      <c r="E16" s="37"/>
      <c r="F16" s="37"/>
    </row>
    <row r="17" spans="1:6" x14ac:dyDescent="0.25">
      <c r="A17" s="32" t="s">
        <v>1103</v>
      </c>
      <c r="B17" s="32" t="s">
        <v>903</v>
      </c>
      <c r="C17" s="33" t="s">
        <v>422</v>
      </c>
      <c r="D17" s="41" t="s">
        <v>900</v>
      </c>
      <c r="E17" s="37"/>
      <c r="F17" s="37"/>
    </row>
    <row r="18" spans="1:6" x14ac:dyDescent="0.25">
      <c r="A18" s="32" t="s">
        <v>1095</v>
      </c>
      <c r="B18" s="57" t="s">
        <v>914</v>
      </c>
      <c r="C18" s="58" t="s">
        <v>422</v>
      </c>
      <c r="D18" s="56" t="s">
        <v>914</v>
      </c>
      <c r="E18" s="45"/>
      <c r="F18" s="45"/>
    </row>
    <row r="19" spans="1:6" x14ac:dyDescent="0.25">
      <c r="A19" s="32" t="s">
        <v>1096</v>
      </c>
      <c r="B19" s="32" t="s">
        <v>915</v>
      </c>
      <c r="C19" s="58" t="s">
        <v>422</v>
      </c>
      <c r="D19" s="56" t="s">
        <v>915</v>
      </c>
      <c r="E19" s="37"/>
      <c r="F19" s="37"/>
    </row>
    <row r="20" spans="1:6" x14ac:dyDescent="0.25">
      <c r="A20" s="32" t="s">
        <v>1099</v>
      </c>
      <c r="B20" s="32" t="s">
        <v>198</v>
      </c>
      <c r="C20" s="58" t="s">
        <v>422</v>
      </c>
      <c r="D20" s="41" t="s">
        <v>198</v>
      </c>
      <c r="E20" s="37"/>
      <c r="F20" s="37"/>
    </row>
    <row r="21" spans="1:6" s="46" customFormat="1" x14ac:dyDescent="0.25">
      <c r="A21" s="32" t="s">
        <v>1100</v>
      </c>
      <c r="B21" s="32" t="s">
        <v>188</v>
      </c>
      <c r="C21" s="33" t="s">
        <v>422</v>
      </c>
      <c r="D21" s="41" t="s">
        <v>188</v>
      </c>
      <c r="E21" s="37"/>
      <c r="F21" s="37"/>
    </row>
    <row r="22" spans="1:6" s="46" customFormat="1" x14ac:dyDescent="0.25">
      <c r="A22" s="32" t="s">
        <v>1098</v>
      </c>
      <c r="B22" s="32" t="s">
        <v>850</v>
      </c>
      <c r="C22" s="58" t="s">
        <v>422</v>
      </c>
      <c r="D22" s="41" t="s">
        <v>358</v>
      </c>
      <c r="E22" s="37"/>
      <c r="F22" s="37"/>
    </row>
    <row r="23" spans="1:6" s="46" customFormat="1" x14ac:dyDescent="0.25">
      <c r="A23" s="32" t="s">
        <v>1097</v>
      </c>
      <c r="B23" s="32" t="s">
        <v>851</v>
      </c>
      <c r="C23" s="58" t="s">
        <v>422</v>
      </c>
      <c r="D23" s="41" t="s">
        <v>358</v>
      </c>
      <c r="E23" s="37"/>
      <c r="F23" s="37"/>
    </row>
    <row r="24" spans="1:6" x14ac:dyDescent="0.25">
      <c r="A24" s="32" t="s">
        <v>1093</v>
      </c>
      <c r="B24" s="57" t="s">
        <v>1080</v>
      </c>
      <c r="C24" s="58" t="s">
        <v>422</v>
      </c>
      <c r="D24" s="56" t="s">
        <v>1080</v>
      </c>
      <c r="E24" s="45"/>
      <c r="F24" s="45"/>
    </row>
    <row r="25" spans="1:6" x14ac:dyDescent="0.25">
      <c r="A25" s="32" t="s">
        <v>1101</v>
      </c>
      <c r="B25" s="32" t="s">
        <v>134</v>
      </c>
      <c r="C25" s="33" t="s">
        <v>422</v>
      </c>
      <c r="D25" s="41" t="s">
        <v>134</v>
      </c>
      <c r="E25" s="37"/>
      <c r="F25" s="37"/>
    </row>
    <row r="26" spans="1:6" x14ac:dyDescent="0.25">
      <c r="A26" s="32" t="s">
        <v>1293</v>
      </c>
      <c r="B26" s="32" t="s">
        <v>1294</v>
      </c>
      <c r="C26" s="33" t="s">
        <v>422</v>
      </c>
      <c r="D26" s="41" t="s">
        <v>1294</v>
      </c>
      <c r="E26" s="37"/>
      <c r="F26" s="37"/>
    </row>
    <row r="27" spans="1:6" s="46" customFormat="1" ht="15.75" customHeight="1" x14ac:dyDescent="0.25">
      <c r="A27" s="32" t="s">
        <v>1058</v>
      </c>
      <c r="B27" s="32" t="s">
        <v>1057</v>
      </c>
      <c r="C27" s="58" t="s">
        <v>510</v>
      </c>
      <c r="D27" t="s">
        <v>1057</v>
      </c>
      <c r="E27" s="37"/>
      <c r="F27" s="66" t="s">
        <v>1057</v>
      </c>
    </row>
    <row r="28" spans="1:6" x14ac:dyDescent="0.25">
      <c r="A28" s="32" t="s">
        <v>849</v>
      </c>
      <c r="B28" s="57" t="s">
        <v>899</v>
      </c>
      <c r="C28" s="58" t="s">
        <v>510</v>
      </c>
      <c r="D28" t="s">
        <v>902</v>
      </c>
      <c r="E28" s="37"/>
      <c r="F28" s="37" t="s">
        <v>837</v>
      </c>
    </row>
    <row r="29" spans="1:6" x14ac:dyDescent="0.25">
      <c r="A29" s="32" t="s">
        <v>849</v>
      </c>
      <c r="B29" s="57" t="s">
        <v>899</v>
      </c>
      <c r="C29" s="58" t="s">
        <v>510</v>
      </c>
      <c r="D29" t="s">
        <v>900</v>
      </c>
      <c r="E29" s="37"/>
      <c r="F29" s="37" t="s">
        <v>834</v>
      </c>
    </row>
    <row r="30" spans="1:6" x14ac:dyDescent="0.25">
      <c r="A30" s="32" t="s">
        <v>848</v>
      </c>
      <c r="B30" s="57" t="s">
        <v>134</v>
      </c>
      <c r="C30" s="58" t="s">
        <v>510</v>
      </c>
      <c r="D30" t="s">
        <v>134</v>
      </c>
      <c r="E30" s="37"/>
      <c r="F30" s="66" t="s">
        <v>839</v>
      </c>
    </row>
    <row r="31" spans="1:6" x14ac:dyDescent="0.25">
      <c r="A31" s="32" t="s">
        <v>848</v>
      </c>
      <c r="B31" s="57" t="s">
        <v>198</v>
      </c>
      <c r="C31" s="58" t="s">
        <v>510</v>
      </c>
      <c r="D31" t="s">
        <v>198</v>
      </c>
      <c r="E31" s="37"/>
      <c r="F31" s="66" t="s">
        <v>1141</v>
      </c>
    </row>
    <row r="32" spans="1:6" x14ac:dyDescent="0.25">
      <c r="A32" s="32" t="s">
        <v>848</v>
      </c>
      <c r="B32" s="57" t="s">
        <v>188</v>
      </c>
      <c r="C32" s="58" t="s">
        <v>510</v>
      </c>
      <c r="D32" t="s">
        <v>188</v>
      </c>
      <c r="E32" s="37"/>
      <c r="F32" s="66" t="s">
        <v>838</v>
      </c>
    </row>
    <row r="33" spans="1:6" x14ac:dyDescent="0.25">
      <c r="A33" s="32" t="s">
        <v>1092</v>
      </c>
      <c r="B33" s="57" t="s">
        <v>914</v>
      </c>
      <c r="C33" s="58" t="s">
        <v>510</v>
      </c>
      <c r="D33" s="52" t="s">
        <v>914</v>
      </c>
      <c r="E33" s="45"/>
      <c r="F33" s="66" t="s">
        <v>1011</v>
      </c>
    </row>
    <row r="34" spans="1:6" s="46" customFormat="1" x14ac:dyDescent="0.25">
      <c r="A34" s="32" t="s">
        <v>1092</v>
      </c>
      <c r="B34" s="57" t="s">
        <v>915</v>
      </c>
      <c r="C34" s="58" t="s">
        <v>510</v>
      </c>
      <c r="D34" s="52" t="s">
        <v>915</v>
      </c>
      <c r="E34" s="45"/>
      <c r="F34" s="66" t="s">
        <v>1010</v>
      </c>
    </row>
    <row r="35" spans="1:6" s="46" customFormat="1" x14ac:dyDescent="0.25">
      <c r="A35" s="32" t="s">
        <v>980</v>
      </c>
      <c r="B35" s="57" t="s">
        <v>358</v>
      </c>
      <c r="C35" s="58" t="s">
        <v>510</v>
      </c>
      <c r="D35" s="41" t="s">
        <v>358</v>
      </c>
      <c r="E35" s="45"/>
      <c r="F35" s="66" t="s">
        <v>961</v>
      </c>
    </row>
    <row r="36" spans="1:6" ht="16.5" customHeight="1" x14ac:dyDescent="0.25">
      <c r="A36" s="32" t="s">
        <v>1081</v>
      </c>
      <c r="B36" s="32" t="s">
        <v>1080</v>
      </c>
      <c r="C36" s="58" t="s">
        <v>510</v>
      </c>
      <c r="D36" t="s">
        <v>1080</v>
      </c>
      <c r="E36" s="37"/>
      <c r="F36" s="66" t="s">
        <v>1080</v>
      </c>
    </row>
    <row r="37" spans="1:6" ht="16.5" customHeight="1" x14ac:dyDescent="0.25">
      <c r="A37" s="32" t="s">
        <v>1336</v>
      </c>
      <c r="B37" s="32" t="s">
        <v>1294</v>
      </c>
      <c r="C37" s="58" t="s">
        <v>510</v>
      </c>
      <c r="D37" s="41" t="s">
        <v>1294</v>
      </c>
      <c r="E37" s="37"/>
      <c r="F37" s="66" t="s">
        <v>1295</v>
      </c>
    </row>
    <row r="38" spans="1:6" s="46" customFormat="1" ht="15.75" customHeight="1" x14ac:dyDescent="0.25">
      <c r="A38" s="67" t="s">
        <v>891</v>
      </c>
      <c r="B38" s="67" t="s">
        <v>893</v>
      </c>
      <c r="C38" s="71" t="s">
        <v>510</v>
      </c>
      <c r="D38" s="68" t="s">
        <v>893</v>
      </c>
      <c r="E38" s="69"/>
      <c r="F38" s="74" t="s">
        <v>892</v>
      </c>
    </row>
    <row r="40" spans="1:6" ht="16.5" customHeight="1" x14ac:dyDescent="0.25"/>
    <row r="42" spans="1:6" x14ac:dyDescent="0.25">
      <c r="D42" t="s">
        <v>836</v>
      </c>
    </row>
    <row r="43" spans="1:6" x14ac:dyDescent="0.25">
      <c r="D43" s="31" t="s">
        <v>835</v>
      </c>
    </row>
  </sheetData>
  <autoFilter ref="C1:C36" xr:uid="{916E2E75-EBBC-4FD5-AE60-B82759CFE4F1}"/>
  <sortState xmlns:xlrd2="http://schemas.microsoft.com/office/spreadsheetml/2017/richdata2" ref="A2:F38">
    <sortCondition ref="C2:C38"/>
    <sortCondition ref="A2:A38"/>
  </sortState>
  <phoneticPr fontId="22" type="noConversion"/>
  <pageMargins left="0.7" right="0.7" top="0.75" bottom="0.75" header="0.3" footer="0.3"/>
  <pageSetup paperSize="9" orientation="portrait" verticalDpi="0" r:id="rId1"/>
  <headerFooter>
    <oddFooter>&amp;C&amp;1#&amp;"Calibri"&amp;10&amp;K000000Usage Interne /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A8A5-8907-4F45-8A2B-653AC9DD10E3}">
  <sheetPr codeName="Feuil1"/>
  <dimension ref="A2:B14"/>
  <sheetViews>
    <sheetView workbookViewId="0">
      <selection activeCell="B23" sqref="B23"/>
    </sheetView>
  </sheetViews>
  <sheetFormatPr baseColWidth="10" defaultRowHeight="15" x14ac:dyDescent="0.25"/>
  <cols>
    <col min="1" max="1" width="17.7109375" bestFit="1" customWidth="1"/>
    <col min="2" max="2" width="14.5703125" bestFit="1" customWidth="1"/>
  </cols>
  <sheetData>
    <row r="2" spans="1:2" x14ac:dyDescent="0.25">
      <c r="A2" s="38" t="s">
        <v>815</v>
      </c>
      <c r="B2" s="38" t="s">
        <v>814</v>
      </c>
    </row>
    <row r="3" spans="1:2" x14ac:dyDescent="0.25">
      <c r="A3" s="34">
        <v>1</v>
      </c>
      <c r="B3" s="34" t="s">
        <v>825</v>
      </c>
    </row>
    <row r="4" spans="1:2" x14ac:dyDescent="0.25">
      <c r="A4" s="34">
        <v>2</v>
      </c>
      <c r="B4" s="34" t="s">
        <v>816</v>
      </c>
    </row>
    <row r="5" spans="1:2" x14ac:dyDescent="0.25">
      <c r="A5" s="34">
        <v>3</v>
      </c>
      <c r="B5" s="34" t="s">
        <v>816</v>
      </c>
    </row>
    <row r="6" spans="1:2" x14ac:dyDescent="0.25">
      <c r="A6" s="34">
        <v>4</v>
      </c>
      <c r="B6" s="34" t="s">
        <v>816</v>
      </c>
    </row>
    <row r="7" spans="1:2" x14ac:dyDescent="0.25">
      <c r="A7" s="34">
        <v>5</v>
      </c>
      <c r="B7" s="34" t="s">
        <v>817</v>
      </c>
    </row>
    <row r="8" spans="1:2" x14ac:dyDescent="0.25">
      <c r="A8" s="34">
        <v>6</v>
      </c>
      <c r="B8" s="34" t="s">
        <v>817</v>
      </c>
    </row>
    <row r="9" spans="1:2" x14ac:dyDescent="0.25">
      <c r="A9" s="34">
        <v>7</v>
      </c>
      <c r="B9" s="34" t="s">
        <v>817</v>
      </c>
    </row>
    <row r="10" spans="1:2" x14ac:dyDescent="0.25">
      <c r="A10" s="34">
        <v>8</v>
      </c>
      <c r="B10" s="34" t="s">
        <v>818</v>
      </c>
    </row>
    <row r="11" spans="1:2" x14ac:dyDescent="0.25">
      <c r="A11" s="34">
        <v>9</v>
      </c>
      <c r="B11" s="34" t="s">
        <v>818</v>
      </c>
    </row>
    <row r="12" spans="1:2" x14ac:dyDescent="0.25">
      <c r="A12" s="34">
        <v>10</v>
      </c>
      <c r="B12" s="34" t="s">
        <v>818</v>
      </c>
    </row>
    <row r="13" spans="1:2" x14ac:dyDescent="0.25">
      <c r="A13" s="34">
        <v>11</v>
      </c>
      <c r="B13" s="34" t="s">
        <v>819</v>
      </c>
    </row>
    <row r="14" spans="1:2" x14ac:dyDescent="0.25">
      <c r="A14" s="34">
        <v>12</v>
      </c>
      <c r="B14" s="34" t="s">
        <v>819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271E-1132-43AC-B598-7CC90760208B}">
  <sheetPr codeName="Feuil3"/>
  <dimension ref="A1:S132"/>
  <sheetViews>
    <sheetView workbookViewId="0">
      <pane ySplit="2" topLeftCell="A71" activePane="bottomLeft" state="frozen"/>
      <selection activeCell="B1" sqref="B1"/>
      <selection pane="bottomLeft" activeCell="B81" sqref="B81"/>
    </sheetView>
  </sheetViews>
  <sheetFormatPr baseColWidth="10" defaultColWidth="9.140625" defaultRowHeight="15" x14ac:dyDescent="0.25"/>
  <cols>
    <col min="1" max="1" width="10" style="39" bestFit="1" customWidth="1"/>
    <col min="2" max="2" width="80.5703125" customWidth="1"/>
    <col min="3" max="3" width="72.5703125" customWidth="1"/>
    <col min="4" max="4" width="17.5703125" style="16" customWidth="1"/>
    <col min="5" max="5" width="13.28515625" style="16" customWidth="1"/>
    <col min="6" max="6" width="11.85546875" style="16" customWidth="1"/>
    <col min="7" max="7" width="12.140625" style="16" customWidth="1"/>
    <col min="8" max="8" width="13.5703125" style="16" customWidth="1"/>
    <col min="9" max="9" width="12.140625" style="16" customWidth="1"/>
    <col min="10" max="10" width="12.5703125" style="16" customWidth="1"/>
    <col min="11" max="11" width="16.42578125" style="16" customWidth="1"/>
    <col min="12" max="13" width="20.42578125" style="16" customWidth="1"/>
    <col min="14" max="16" width="17.42578125" style="60" customWidth="1"/>
    <col min="17" max="17" width="14.28515625" style="16" customWidth="1"/>
    <col min="18" max="18" width="15" style="60" customWidth="1"/>
    <col min="19" max="19" width="14.85546875" style="16" customWidth="1"/>
    <col min="25" max="25" width="55.42578125" bestFit="1" customWidth="1"/>
    <col min="28" max="28" width="55.42578125" bestFit="1" customWidth="1"/>
  </cols>
  <sheetData>
    <row r="1" spans="1:19" x14ac:dyDescent="0.25">
      <c r="A1" s="39" t="s">
        <v>133</v>
      </c>
      <c r="B1" t="str">
        <f ca="1">IF(MONTH(EDATE(TODAY(),-1))&lt;4,"Q1_"&amp;YEAR(TODAY()),IF(MONTH(EDATE(TODAY(),-1))&lt;7,"Q2_"&amp;YEAR(TODAY()),IF(MONTH(EDATE(TODAY(),-1))&lt;10,"Q3_"&amp;YEAR(TODAY()),"Q4_"&amp;YEAR(TODAY()))))</f>
        <v>Q2_2026</v>
      </c>
    </row>
    <row r="2" spans="1:19" x14ac:dyDescent="0.25">
      <c r="A2" s="40" t="s">
        <v>419</v>
      </c>
      <c r="B2" s="17" t="s">
        <v>420</v>
      </c>
      <c r="C2" s="17" t="s">
        <v>421</v>
      </c>
      <c r="D2" s="17" t="s">
        <v>903</v>
      </c>
      <c r="E2" s="17" t="s">
        <v>899</v>
      </c>
      <c r="F2" s="17" t="s">
        <v>901</v>
      </c>
      <c r="G2" s="17" t="s">
        <v>904</v>
      </c>
      <c r="H2" s="17" t="s">
        <v>134</v>
      </c>
      <c r="I2" s="17" t="s">
        <v>198</v>
      </c>
      <c r="J2" s="17" t="s">
        <v>188</v>
      </c>
      <c r="K2" s="17" t="s">
        <v>850</v>
      </c>
      <c r="L2" s="17" t="s">
        <v>851</v>
      </c>
      <c r="M2" s="17" t="s">
        <v>358</v>
      </c>
      <c r="N2" s="17" t="s">
        <v>915</v>
      </c>
      <c r="O2" s="17" t="s">
        <v>914</v>
      </c>
      <c r="P2" s="17" t="s">
        <v>1057</v>
      </c>
      <c r="Q2" s="17" t="s">
        <v>1294</v>
      </c>
      <c r="R2" s="17" t="s">
        <v>1080</v>
      </c>
      <c r="S2" s="16" t="s">
        <v>893</v>
      </c>
    </row>
    <row r="3" spans="1:19" x14ac:dyDescent="0.25">
      <c r="A3" s="62" t="s">
        <v>422</v>
      </c>
      <c r="B3" s="63" t="s">
        <v>1122</v>
      </c>
      <c r="C3" s="63" t="s">
        <v>429</v>
      </c>
      <c r="D3" s="64"/>
      <c r="E3" s="64"/>
      <c r="F3" s="64"/>
      <c r="G3" s="64"/>
      <c r="H3" s="64">
        <v>1</v>
      </c>
      <c r="I3" s="64">
        <v>1</v>
      </c>
      <c r="J3" s="64">
        <v>1</v>
      </c>
      <c r="K3" s="64">
        <v>1</v>
      </c>
      <c r="L3" s="64">
        <v>1</v>
      </c>
      <c r="M3" s="64"/>
      <c r="N3" s="65">
        <v>1</v>
      </c>
      <c r="O3" s="65">
        <v>1</v>
      </c>
      <c r="P3" s="65">
        <v>1</v>
      </c>
      <c r="Q3" s="64">
        <v>1</v>
      </c>
      <c r="R3" s="65">
        <v>1</v>
      </c>
      <c r="S3" s="64"/>
    </row>
    <row r="4" spans="1:19" x14ac:dyDescent="0.25">
      <c r="A4" s="62" t="s">
        <v>422</v>
      </c>
      <c r="B4" s="63" t="s">
        <v>991</v>
      </c>
      <c r="C4" s="63" t="s">
        <v>468</v>
      </c>
      <c r="D4" s="64">
        <v>1</v>
      </c>
      <c r="E4" s="64">
        <v>1</v>
      </c>
      <c r="F4" s="64">
        <v>1</v>
      </c>
      <c r="G4" s="64">
        <v>1</v>
      </c>
      <c r="H4" s="64">
        <v>1</v>
      </c>
      <c r="I4" s="64">
        <v>1</v>
      </c>
      <c r="J4" s="64">
        <v>1</v>
      </c>
      <c r="K4" s="64">
        <v>1</v>
      </c>
      <c r="L4" s="64">
        <v>1</v>
      </c>
      <c r="M4" s="64"/>
      <c r="N4" s="65">
        <v>1</v>
      </c>
      <c r="O4" s="65">
        <v>1</v>
      </c>
      <c r="P4" s="65">
        <v>1</v>
      </c>
      <c r="Q4" s="64">
        <v>1</v>
      </c>
      <c r="R4" s="65">
        <v>1</v>
      </c>
      <c r="S4" s="64"/>
    </row>
    <row r="5" spans="1:19" x14ac:dyDescent="0.25">
      <c r="A5" s="39" t="s">
        <v>422</v>
      </c>
      <c r="B5" t="s">
        <v>473</v>
      </c>
      <c r="C5" t="s">
        <v>878</v>
      </c>
      <c r="H5" s="16">
        <v>1</v>
      </c>
      <c r="I5" s="16">
        <v>1</v>
      </c>
      <c r="J5" s="16">
        <v>1</v>
      </c>
      <c r="K5" s="16">
        <v>1</v>
      </c>
      <c r="N5" s="60">
        <v>1</v>
      </c>
      <c r="Q5" s="16">
        <v>1</v>
      </c>
    </row>
    <row r="6" spans="1:19" x14ac:dyDescent="0.25">
      <c r="A6" s="39" t="s">
        <v>422</v>
      </c>
      <c r="B6" t="s">
        <v>470</v>
      </c>
      <c r="C6" t="s">
        <v>471</v>
      </c>
      <c r="I6" s="16">
        <v>1</v>
      </c>
      <c r="K6" s="16">
        <v>1</v>
      </c>
      <c r="L6" s="16">
        <v>1</v>
      </c>
      <c r="N6" s="59">
        <v>1</v>
      </c>
      <c r="O6" s="59">
        <v>1</v>
      </c>
      <c r="P6" s="59">
        <v>1</v>
      </c>
      <c r="Q6" s="16">
        <v>1</v>
      </c>
      <c r="R6" s="59">
        <v>1</v>
      </c>
    </row>
    <row r="7" spans="1:19" x14ac:dyDescent="0.25">
      <c r="A7" s="39" t="s">
        <v>422</v>
      </c>
      <c r="B7" t="s">
        <v>993</v>
      </c>
      <c r="C7" t="s">
        <v>471</v>
      </c>
      <c r="H7" s="16">
        <v>1</v>
      </c>
      <c r="J7" s="16">
        <v>1</v>
      </c>
      <c r="K7" s="16" t="s">
        <v>877</v>
      </c>
      <c r="L7" s="16" t="s">
        <v>877</v>
      </c>
    </row>
    <row r="8" spans="1:19" x14ac:dyDescent="0.25">
      <c r="A8" s="39" t="s">
        <v>422</v>
      </c>
      <c r="B8" t="s">
        <v>427</v>
      </c>
      <c r="C8" t="s">
        <v>428</v>
      </c>
      <c r="H8" s="16">
        <v>1</v>
      </c>
      <c r="I8" s="16">
        <v>1</v>
      </c>
      <c r="K8" s="16">
        <v>1</v>
      </c>
      <c r="L8" s="16">
        <v>1</v>
      </c>
      <c r="N8" s="59">
        <v>1</v>
      </c>
      <c r="O8" s="59">
        <v>1</v>
      </c>
      <c r="P8" s="59">
        <v>1</v>
      </c>
      <c r="Q8" s="16">
        <v>1</v>
      </c>
      <c r="R8" s="59">
        <v>1</v>
      </c>
    </row>
    <row r="9" spans="1:19" x14ac:dyDescent="0.25">
      <c r="A9" s="39" t="s">
        <v>422</v>
      </c>
      <c r="B9" t="s">
        <v>986</v>
      </c>
      <c r="C9" t="s">
        <v>428</v>
      </c>
      <c r="J9" s="16">
        <v>1</v>
      </c>
      <c r="K9" s="16" t="s">
        <v>877</v>
      </c>
      <c r="L9" s="16" t="s">
        <v>877</v>
      </c>
    </row>
    <row r="10" spans="1:19" x14ac:dyDescent="0.25">
      <c r="A10" s="39" t="s">
        <v>422</v>
      </c>
      <c r="B10" t="s">
        <v>506</v>
      </c>
      <c r="C10" t="s">
        <v>507</v>
      </c>
      <c r="I10" s="16">
        <v>1</v>
      </c>
      <c r="K10" s="16">
        <v>1</v>
      </c>
      <c r="L10" s="16">
        <v>1</v>
      </c>
      <c r="N10" s="59">
        <v>1</v>
      </c>
      <c r="O10" s="59">
        <v>1</v>
      </c>
      <c r="P10" s="59">
        <v>1</v>
      </c>
      <c r="Q10" s="16">
        <v>1</v>
      </c>
      <c r="R10" s="59">
        <v>1</v>
      </c>
    </row>
    <row r="11" spans="1:19" x14ac:dyDescent="0.25">
      <c r="A11" s="39" t="s">
        <v>422</v>
      </c>
      <c r="B11" t="s">
        <v>1002</v>
      </c>
      <c r="C11" t="s">
        <v>507</v>
      </c>
      <c r="H11" s="16">
        <v>1</v>
      </c>
      <c r="J11" s="16">
        <v>1</v>
      </c>
      <c r="K11" s="16" t="s">
        <v>877</v>
      </c>
      <c r="L11" s="16" t="s">
        <v>877</v>
      </c>
    </row>
    <row r="12" spans="1:19" x14ac:dyDescent="0.25">
      <c r="A12" s="39" t="s">
        <v>422</v>
      </c>
      <c r="B12" t="s">
        <v>1132</v>
      </c>
      <c r="C12" t="s">
        <v>1133</v>
      </c>
      <c r="H12" s="16">
        <v>1</v>
      </c>
      <c r="J12" s="16">
        <v>1</v>
      </c>
      <c r="K12" s="16" t="s">
        <v>877</v>
      </c>
      <c r="L12" s="16" t="s">
        <v>877</v>
      </c>
      <c r="R12" s="60">
        <v>1</v>
      </c>
    </row>
    <row r="13" spans="1:19" x14ac:dyDescent="0.25">
      <c r="A13" s="39" t="s">
        <v>422</v>
      </c>
      <c r="B13" t="s">
        <v>982</v>
      </c>
      <c r="C13" t="s">
        <v>880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K13" s="16" t="s">
        <v>877</v>
      </c>
      <c r="L13" s="16" t="s">
        <v>877</v>
      </c>
    </row>
    <row r="14" spans="1:19" x14ac:dyDescent="0.25">
      <c r="A14" s="39" t="s">
        <v>422</v>
      </c>
      <c r="B14" t="s">
        <v>988</v>
      </c>
      <c r="C14" t="s">
        <v>431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N14" s="60">
        <v>1</v>
      </c>
      <c r="O14" s="60">
        <v>1</v>
      </c>
      <c r="P14" s="59">
        <v>1</v>
      </c>
      <c r="Q14" s="16">
        <v>1</v>
      </c>
      <c r="R14" s="60">
        <v>1</v>
      </c>
    </row>
    <row r="15" spans="1:19" x14ac:dyDescent="0.25">
      <c r="A15" s="76" t="s">
        <v>422</v>
      </c>
      <c r="B15" s="52" t="s">
        <v>821</v>
      </c>
      <c r="C15" s="52" t="s">
        <v>827</v>
      </c>
      <c r="D15" s="16">
        <v>1</v>
      </c>
      <c r="E15" s="16">
        <v>1</v>
      </c>
      <c r="F15" s="16">
        <v>1</v>
      </c>
      <c r="G15" s="16">
        <v>1</v>
      </c>
      <c r="I15" s="16">
        <v>1</v>
      </c>
      <c r="K15" s="16">
        <v>1</v>
      </c>
      <c r="L15" s="16">
        <v>1</v>
      </c>
      <c r="N15" s="59">
        <v>1</v>
      </c>
      <c r="O15" s="59">
        <v>1</v>
      </c>
      <c r="P15" s="59">
        <v>1</v>
      </c>
      <c r="Q15" s="16">
        <v>1</v>
      </c>
      <c r="R15" s="59">
        <v>1</v>
      </c>
    </row>
    <row r="16" spans="1:19" x14ac:dyDescent="0.25">
      <c r="A16" s="39" t="s">
        <v>422</v>
      </c>
      <c r="B16" t="s">
        <v>820</v>
      </c>
      <c r="C16" t="s">
        <v>827</v>
      </c>
      <c r="H16" s="16">
        <v>1</v>
      </c>
      <c r="J16" s="16">
        <v>1</v>
      </c>
      <c r="K16" s="16" t="s">
        <v>877</v>
      </c>
      <c r="L16" s="16" t="s">
        <v>877</v>
      </c>
    </row>
    <row r="17" spans="1:19" x14ac:dyDescent="0.25">
      <c r="A17" s="39" t="s">
        <v>422</v>
      </c>
      <c r="B17" t="s">
        <v>994</v>
      </c>
      <c r="C17" t="s">
        <v>474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P17" s="59">
        <v>1</v>
      </c>
      <c r="Q17" s="16">
        <v>1</v>
      </c>
      <c r="R17" s="60">
        <v>1</v>
      </c>
    </row>
    <row r="18" spans="1:19" x14ac:dyDescent="0.25">
      <c r="A18" s="39" t="s">
        <v>422</v>
      </c>
      <c r="B18" t="s">
        <v>984</v>
      </c>
      <c r="C18" t="s">
        <v>426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P18" s="59">
        <v>1</v>
      </c>
      <c r="Q18" s="16">
        <v>1</v>
      </c>
      <c r="R18" s="60">
        <v>1</v>
      </c>
    </row>
    <row r="19" spans="1:19" x14ac:dyDescent="0.25">
      <c r="A19" s="39" t="s">
        <v>422</v>
      </c>
      <c r="B19" t="s">
        <v>498</v>
      </c>
      <c r="C19" t="s">
        <v>499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P19" s="59">
        <v>1</v>
      </c>
      <c r="Q19" s="16">
        <v>1</v>
      </c>
      <c r="R19" s="60">
        <v>1</v>
      </c>
    </row>
    <row r="20" spans="1:19" x14ac:dyDescent="0.25">
      <c r="A20" s="39" t="s">
        <v>422</v>
      </c>
      <c r="B20" t="s">
        <v>990</v>
      </c>
      <c r="C20" t="s">
        <v>454</v>
      </c>
      <c r="H20" s="16">
        <v>1</v>
      </c>
      <c r="J20" s="16">
        <v>1</v>
      </c>
      <c r="K20" s="16">
        <v>1</v>
      </c>
      <c r="L20" s="16">
        <v>1</v>
      </c>
      <c r="N20" s="60">
        <v>1</v>
      </c>
      <c r="O20" s="60">
        <v>1</v>
      </c>
      <c r="Q20" s="16">
        <v>1</v>
      </c>
    </row>
    <row r="21" spans="1:19" x14ac:dyDescent="0.25">
      <c r="A21" s="39" t="s">
        <v>422</v>
      </c>
      <c r="B21" t="s">
        <v>997</v>
      </c>
      <c r="C21" t="s">
        <v>492</v>
      </c>
      <c r="H21" s="16">
        <v>1</v>
      </c>
      <c r="K21" s="16" t="s">
        <v>877</v>
      </c>
      <c r="L21" s="16" t="s">
        <v>877</v>
      </c>
      <c r="N21" s="59"/>
      <c r="O21" s="59"/>
      <c r="P21" s="59"/>
      <c r="R21" s="59"/>
    </row>
    <row r="22" spans="1:19" x14ac:dyDescent="0.25">
      <c r="A22" s="39" t="s">
        <v>422</v>
      </c>
      <c r="B22" t="s">
        <v>989</v>
      </c>
      <c r="C22" t="s">
        <v>453</v>
      </c>
      <c r="H22" s="16">
        <v>1</v>
      </c>
      <c r="J22" s="16">
        <v>1</v>
      </c>
      <c r="K22" s="16" t="s">
        <v>877</v>
      </c>
      <c r="L22" s="16" t="s">
        <v>877</v>
      </c>
      <c r="Q22" s="16">
        <v>1</v>
      </c>
    </row>
    <row r="23" spans="1:19" x14ac:dyDescent="0.25">
      <c r="A23" s="62" t="s">
        <v>422</v>
      </c>
      <c r="B23" s="63" t="s">
        <v>1121</v>
      </c>
      <c r="C23" s="63" t="s">
        <v>472</v>
      </c>
      <c r="D23" s="64">
        <v>1</v>
      </c>
      <c r="E23" s="64">
        <v>1</v>
      </c>
      <c r="F23" s="64">
        <v>1</v>
      </c>
      <c r="G23" s="64">
        <v>1</v>
      </c>
      <c r="H23" s="64">
        <v>1</v>
      </c>
      <c r="I23" s="64">
        <v>1</v>
      </c>
      <c r="J23" s="64">
        <v>1</v>
      </c>
      <c r="K23" s="64">
        <v>1</v>
      </c>
      <c r="L23" s="64">
        <v>1</v>
      </c>
      <c r="M23" s="64"/>
      <c r="N23" s="65">
        <v>1</v>
      </c>
      <c r="O23" s="65">
        <v>1</v>
      </c>
      <c r="P23" s="65">
        <v>1</v>
      </c>
      <c r="Q23" s="64">
        <v>1</v>
      </c>
      <c r="R23" s="65">
        <v>1</v>
      </c>
      <c r="S23" s="64"/>
    </row>
    <row r="24" spans="1:19" x14ac:dyDescent="0.25">
      <c r="A24" s="39" t="s">
        <v>422</v>
      </c>
      <c r="B24" t="s">
        <v>503</v>
      </c>
      <c r="C24" t="s">
        <v>504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N24" s="60">
        <v>1</v>
      </c>
      <c r="O24" s="60">
        <v>1</v>
      </c>
      <c r="P24" s="59">
        <v>1</v>
      </c>
      <c r="Q24" s="16">
        <v>1</v>
      </c>
      <c r="R24" s="60">
        <v>1</v>
      </c>
    </row>
    <row r="25" spans="1:19" x14ac:dyDescent="0.25">
      <c r="A25" s="39" t="s">
        <v>422</v>
      </c>
      <c r="B25" t="s">
        <v>508</v>
      </c>
      <c r="C25" t="s">
        <v>509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N25" s="60">
        <v>1</v>
      </c>
      <c r="O25" s="60">
        <v>1</v>
      </c>
      <c r="P25" s="59">
        <v>1</v>
      </c>
      <c r="Q25" s="16">
        <v>1</v>
      </c>
      <c r="R25" s="60">
        <v>1</v>
      </c>
    </row>
    <row r="26" spans="1:19" x14ac:dyDescent="0.25">
      <c r="A26" s="39" t="s">
        <v>422</v>
      </c>
      <c r="B26" t="s">
        <v>999</v>
      </c>
      <c r="C26" t="s">
        <v>502</v>
      </c>
      <c r="H26" s="16">
        <v>1</v>
      </c>
      <c r="J26" s="16">
        <v>1</v>
      </c>
      <c r="K26" s="16">
        <v>1</v>
      </c>
      <c r="L26" s="16">
        <v>1</v>
      </c>
      <c r="P26" s="59">
        <v>1</v>
      </c>
      <c r="Q26" s="16">
        <v>1</v>
      </c>
      <c r="R26" s="60">
        <v>1</v>
      </c>
    </row>
    <row r="27" spans="1:19" x14ac:dyDescent="0.25">
      <c r="A27" s="39" t="s">
        <v>422</v>
      </c>
      <c r="B27" t="s">
        <v>464</v>
      </c>
      <c r="C27" t="s">
        <v>465</v>
      </c>
      <c r="H27" s="16">
        <v>1</v>
      </c>
      <c r="J27" s="16">
        <v>1</v>
      </c>
      <c r="K27" s="16" t="s">
        <v>877</v>
      </c>
      <c r="L27" s="16" t="s">
        <v>877</v>
      </c>
      <c r="N27" s="60">
        <v>1</v>
      </c>
      <c r="O27" s="60">
        <v>1</v>
      </c>
      <c r="P27" s="59">
        <v>1</v>
      </c>
      <c r="Q27" s="16">
        <v>1</v>
      </c>
      <c r="R27" s="60">
        <v>1</v>
      </c>
    </row>
    <row r="28" spans="1:19" x14ac:dyDescent="0.25">
      <c r="A28" s="39" t="s">
        <v>422</v>
      </c>
      <c r="B28" t="s">
        <v>456</v>
      </c>
      <c r="C28" t="s">
        <v>457</v>
      </c>
      <c r="H28" s="16">
        <v>1</v>
      </c>
      <c r="I28" s="16">
        <v>1</v>
      </c>
      <c r="J28" s="16">
        <v>1</v>
      </c>
      <c r="K28" s="16" t="s">
        <v>877</v>
      </c>
      <c r="L28" s="16" t="s">
        <v>877</v>
      </c>
      <c r="O28" s="60">
        <v>1</v>
      </c>
      <c r="P28" s="59">
        <v>1</v>
      </c>
      <c r="Q28" s="16">
        <v>1</v>
      </c>
      <c r="R28" s="60">
        <v>1</v>
      </c>
    </row>
    <row r="29" spans="1:19" x14ac:dyDescent="0.25">
      <c r="A29" s="39" t="s">
        <v>422</v>
      </c>
      <c r="B29" t="s">
        <v>460</v>
      </c>
      <c r="C29" t="s">
        <v>461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N29" s="60">
        <v>1</v>
      </c>
      <c r="O29" s="60">
        <v>1</v>
      </c>
      <c r="P29" s="59">
        <v>1</v>
      </c>
      <c r="Q29" s="16">
        <v>1</v>
      </c>
      <c r="R29" s="60">
        <v>1</v>
      </c>
    </row>
    <row r="30" spans="1:19" x14ac:dyDescent="0.25">
      <c r="A30" s="39" t="s">
        <v>422</v>
      </c>
      <c r="B30" t="s">
        <v>447</v>
      </c>
      <c r="C30" t="s">
        <v>448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N30" s="60">
        <v>1</v>
      </c>
      <c r="O30" s="60">
        <v>1</v>
      </c>
      <c r="P30" s="59">
        <v>1</v>
      </c>
      <c r="Q30" s="16">
        <v>1</v>
      </c>
      <c r="R30" s="60">
        <v>1</v>
      </c>
    </row>
    <row r="31" spans="1:19" x14ac:dyDescent="0.25">
      <c r="A31" s="39" t="s">
        <v>422</v>
      </c>
      <c r="B31" t="s">
        <v>445</v>
      </c>
      <c r="C31" t="s">
        <v>446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N31" s="60">
        <v>1</v>
      </c>
      <c r="O31" s="60">
        <v>1</v>
      </c>
      <c r="P31" s="59">
        <v>1</v>
      </c>
      <c r="Q31" s="16">
        <v>1</v>
      </c>
      <c r="R31" s="60">
        <v>1</v>
      </c>
    </row>
    <row r="32" spans="1:19" x14ac:dyDescent="0.25">
      <c r="A32" s="39" t="s">
        <v>422</v>
      </c>
      <c r="B32" t="s">
        <v>987</v>
      </c>
      <c r="C32" t="s">
        <v>430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N32" s="60">
        <v>1</v>
      </c>
      <c r="O32" s="60">
        <v>1</v>
      </c>
      <c r="P32" s="59">
        <v>1</v>
      </c>
      <c r="Q32" s="16">
        <v>1</v>
      </c>
      <c r="R32" s="60">
        <v>1</v>
      </c>
    </row>
    <row r="33" spans="1:19" x14ac:dyDescent="0.25">
      <c r="A33" s="39" t="s">
        <v>422</v>
      </c>
      <c r="B33" t="s">
        <v>480</v>
      </c>
      <c r="C33" t="s">
        <v>481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N33" s="60">
        <v>1</v>
      </c>
      <c r="O33" s="60">
        <v>1</v>
      </c>
      <c r="P33" s="59">
        <v>1</v>
      </c>
      <c r="Q33" s="16">
        <v>1</v>
      </c>
      <c r="R33" s="60">
        <v>1</v>
      </c>
    </row>
    <row r="34" spans="1:19" x14ac:dyDescent="0.25">
      <c r="A34" s="39" t="s">
        <v>422</v>
      </c>
      <c r="B34" t="s">
        <v>434</v>
      </c>
      <c r="C34" t="s">
        <v>435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N34" s="60">
        <v>1</v>
      </c>
      <c r="O34" s="60">
        <v>1</v>
      </c>
      <c r="P34" s="59">
        <v>1</v>
      </c>
      <c r="Q34" s="16">
        <v>1</v>
      </c>
      <c r="R34" s="60">
        <v>1</v>
      </c>
    </row>
    <row r="35" spans="1:19" x14ac:dyDescent="0.25">
      <c r="A35" s="39" t="s">
        <v>422</v>
      </c>
      <c r="B35" t="s">
        <v>983</v>
      </c>
      <c r="C35" t="s">
        <v>425</v>
      </c>
      <c r="H35" s="16">
        <v>1</v>
      </c>
      <c r="I35" s="16">
        <v>1</v>
      </c>
      <c r="K35" s="16" t="s">
        <v>877</v>
      </c>
      <c r="L35" s="16" t="s">
        <v>877</v>
      </c>
      <c r="N35" s="59">
        <v>1</v>
      </c>
      <c r="O35" s="59">
        <v>1</v>
      </c>
      <c r="P35" s="59">
        <v>1</v>
      </c>
      <c r="R35" s="59">
        <v>1</v>
      </c>
    </row>
    <row r="36" spans="1:19" x14ac:dyDescent="0.25">
      <c r="A36" s="39" t="s">
        <v>422</v>
      </c>
      <c r="B36" t="s">
        <v>1001</v>
      </c>
      <c r="C36" t="s">
        <v>868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N36" s="59">
        <v>1</v>
      </c>
      <c r="O36" s="59">
        <v>1</v>
      </c>
      <c r="P36" s="59"/>
      <c r="R36" s="59"/>
    </row>
    <row r="37" spans="1:19" x14ac:dyDescent="0.25">
      <c r="A37" s="39" t="s">
        <v>422</v>
      </c>
      <c r="B37" t="s">
        <v>484</v>
      </c>
      <c r="C37" t="s">
        <v>485</v>
      </c>
      <c r="H37" s="16">
        <v>1</v>
      </c>
      <c r="K37" s="16" t="s">
        <v>877</v>
      </c>
      <c r="L37" s="16" t="s">
        <v>877</v>
      </c>
      <c r="O37" s="60">
        <v>1</v>
      </c>
      <c r="P37" s="59">
        <v>1</v>
      </c>
      <c r="R37" s="60">
        <v>1</v>
      </c>
    </row>
    <row r="38" spans="1:19" x14ac:dyDescent="0.25">
      <c r="A38" s="76" t="s">
        <v>422</v>
      </c>
      <c r="B38" s="77" t="s">
        <v>1124</v>
      </c>
      <c r="C38" s="52" t="s">
        <v>1125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/>
      <c r="N38" s="60">
        <v>1</v>
      </c>
      <c r="O38" s="60">
        <v>1</v>
      </c>
      <c r="P38" s="59">
        <v>1</v>
      </c>
      <c r="Q38" s="60"/>
      <c r="R38" s="60">
        <v>1</v>
      </c>
      <c r="S38" s="47"/>
    </row>
    <row r="39" spans="1:19" x14ac:dyDescent="0.25">
      <c r="A39" s="39" t="s">
        <v>422</v>
      </c>
      <c r="B39" t="s">
        <v>436</v>
      </c>
      <c r="C39" t="s">
        <v>437</v>
      </c>
      <c r="N39" s="59"/>
      <c r="O39" s="59"/>
      <c r="P39" s="59"/>
      <c r="R39" s="59"/>
    </row>
    <row r="40" spans="1:19" x14ac:dyDescent="0.25">
      <c r="A40" s="39" t="s">
        <v>422</v>
      </c>
      <c r="B40" t="s">
        <v>475</v>
      </c>
      <c r="C40" t="s">
        <v>476</v>
      </c>
      <c r="F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N40" s="60">
        <v>1</v>
      </c>
      <c r="O40" s="60">
        <v>1</v>
      </c>
      <c r="P40" s="59">
        <v>1</v>
      </c>
      <c r="Q40" s="16">
        <v>1</v>
      </c>
      <c r="R40" s="60">
        <v>1</v>
      </c>
    </row>
    <row r="41" spans="1:19" x14ac:dyDescent="0.25">
      <c r="A41" s="39" t="s">
        <v>422</v>
      </c>
      <c r="B41" t="s">
        <v>823</v>
      </c>
      <c r="C41" t="s">
        <v>476</v>
      </c>
      <c r="D41" s="16">
        <v>1</v>
      </c>
      <c r="E41" s="16">
        <v>1</v>
      </c>
      <c r="G41" s="16">
        <v>1</v>
      </c>
      <c r="K41" s="16" t="s">
        <v>877</v>
      </c>
      <c r="L41" s="16" t="s">
        <v>877</v>
      </c>
      <c r="N41" s="59"/>
      <c r="O41" s="59"/>
      <c r="P41" s="59"/>
      <c r="R41" s="59"/>
    </row>
    <row r="42" spans="1:19" x14ac:dyDescent="0.25">
      <c r="A42" s="39" t="s">
        <v>422</v>
      </c>
      <c r="B42" t="s">
        <v>478</v>
      </c>
      <c r="C42" t="s">
        <v>479</v>
      </c>
      <c r="I42" s="16">
        <v>1</v>
      </c>
      <c r="J42" s="16">
        <v>1</v>
      </c>
      <c r="K42" s="16">
        <v>1</v>
      </c>
      <c r="L42" s="16">
        <v>1</v>
      </c>
      <c r="N42" s="60">
        <v>1</v>
      </c>
      <c r="O42" s="60">
        <v>1</v>
      </c>
      <c r="P42" s="59">
        <v>1</v>
      </c>
      <c r="Q42" s="16">
        <v>1</v>
      </c>
      <c r="R42" s="60">
        <v>1</v>
      </c>
    </row>
    <row r="43" spans="1:19" x14ac:dyDescent="0.25">
      <c r="A43" s="39" t="s">
        <v>422</v>
      </c>
      <c r="B43" t="s">
        <v>500</v>
      </c>
      <c r="C43" t="s">
        <v>501</v>
      </c>
      <c r="J43" s="16">
        <v>1</v>
      </c>
      <c r="K43" s="16" t="s">
        <v>877</v>
      </c>
      <c r="L43" s="16" t="s">
        <v>877</v>
      </c>
      <c r="Q43" s="16">
        <v>1</v>
      </c>
    </row>
    <row r="44" spans="1:19" x14ac:dyDescent="0.25">
      <c r="A44" s="39" t="s">
        <v>422</v>
      </c>
      <c r="B44" t="s">
        <v>451</v>
      </c>
      <c r="C44" t="s">
        <v>452</v>
      </c>
      <c r="J44" s="16">
        <v>1</v>
      </c>
      <c r="K44" s="16" t="s">
        <v>877</v>
      </c>
      <c r="L44" s="16" t="s">
        <v>877</v>
      </c>
      <c r="Q44" s="16">
        <v>1</v>
      </c>
    </row>
    <row r="45" spans="1:19" x14ac:dyDescent="0.25">
      <c r="A45" s="39" t="s">
        <v>422</v>
      </c>
      <c r="B45" t="s">
        <v>998</v>
      </c>
      <c r="C45" t="s">
        <v>497</v>
      </c>
      <c r="J45" s="16">
        <v>1</v>
      </c>
      <c r="K45" s="16" t="s">
        <v>877</v>
      </c>
      <c r="L45" s="16" t="s">
        <v>877</v>
      </c>
      <c r="N45" s="60">
        <v>1</v>
      </c>
      <c r="O45" s="60">
        <v>1</v>
      </c>
      <c r="P45" s="59">
        <v>1</v>
      </c>
      <c r="Q45" s="16">
        <v>1</v>
      </c>
      <c r="R45" s="60">
        <v>1</v>
      </c>
    </row>
    <row r="46" spans="1:19" x14ac:dyDescent="0.25">
      <c r="A46" s="39" t="s">
        <v>422</v>
      </c>
      <c r="B46" t="s">
        <v>423</v>
      </c>
      <c r="C46" t="s">
        <v>424</v>
      </c>
      <c r="J46" s="16">
        <v>1</v>
      </c>
      <c r="K46" s="16" t="s">
        <v>877</v>
      </c>
      <c r="L46" s="16" t="s">
        <v>877</v>
      </c>
      <c r="O46" s="60">
        <v>1</v>
      </c>
      <c r="P46" s="59">
        <v>1</v>
      </c>
      <c r="Q46" s="16">
        <v>1</v>
      </c>
      <c r="R46" s="60">
        <v>1</v>
      </c>
    </row>
    <row r="47" spans="1:19" x14ac:dyDescent="0.25">
      <c r="A47" s="39" t="s">
        <v>422</v>
      </c>
      <c r="B47" t="s">
        <v>466</v>
      </c>
      <c r="C47" t="s">
        <v>467</v>
      </c>
      <c r="I47" s="16">
        <v>1</v>
      </c>
    </row>
    <row r="48" spans="1:19" x14ac:dyDescent="0.25">
      <c r="A48" s="39" t="s">
        <v>422</v>
      </c>
      <c r="B48" t="s">
        <v>1135</v>
      </c>
      <c r="C48" t="s">
        <v>1136</v>
      </c>
      <c r="I48" s="16">
        <v>1</v>
      </c>
      <c r="N48" s="59"/>
      <c r="O48" s="59"/>
      <c r="P48" s="59">
        <v>1</v>
      </c>
      <c r="Q48" s="16">
        <v>1</v>
      </c>
      <c r="R48" s="59">
        <v>1</v>
      </c>
    </row>
    <row r="49" spans="1:19" x14ac:dyDescent="0.25">
      <c r="A49" s="39" t="s">
        <v>422</v>
      </c>
      <c r="B49" t="s">
        <v>489</v>
      </c>
      <c r="C49" t="s">
        <v>847</v>
      </c>
      <c r="D49" s="16">
        <v>1</v>
      </c>
      <c r="E49" s="16">
        <v>1</v>
      </c>
      <c r="F49" s="16">
        <v>1</v>
      </c>
      <c r="G49" s="16">
        <v>1</v>
      </c>
      <c r="K49" s="16" t="s">
        <v>877</v>
      </c>
      <c r="L49" s="16">
        <v>1</v>
      </c>
      <c r="N49" s="59"/>
      <c r="O49" s="59">
        <v>1</v>
      </c>
      <c r="P49" s="59">
        <v>1</v>
      </c>
      <c r="R49" s="59">
        <v>1</v>
      </c>
    </row>
    <row r="50" spans="1:19" x14ac:dyDescent="0.25">
      <c r="A50" s="39" t="s">
        <v>422</v>
      </c>
      <c r="B50" t="s">
        <v>996</v>
      </c>
      <c r="C50" t="s">
        <v>488</v>
      </c>
      <c r="K50" s="16" t="s">
        <v>877</v>
      </c>
      <c r="L50" s="16" t="s">
        <v>877</v>
      </c>
      <c r="N50" s="59"/>
      <c r="O50" s="59"/>
      <c r="P50" s="59"/>
      <c r="R50" s="59"/>
    </row>
    <row r="51" spans="1:19" x14ac:dyDescent="0.25">
      <c r="A51" s="39" t="s">
        <v>422</v>
      </c>
      <c r="B51" t="s">
        <v>432</v>
      </c>
      <c r="C51" t="s">
        <v>433</v>
      </c>
      <c r="D51" s="16">
        <v>1</v>
      </c>
      <c r="E51" s="16">
        <v>1</v>
      </c>
      <c r="F51" s="16">
        <v>1</v>
      </c>
      <c r="G51" s="16">
        <v>1</v>
      </c>
      <c r="K51" s="16" t="s">
        <v>877</v>
      </c>
      <c r="L51" s="16" t="s">
        <v>877</v>
      </c>
      <c r="N51" s="59"/>
      <c r="O51" s="59"/>
      <c r="P51" s="59"/>
      <c r="R51" s="59"/>
    </row>
    <row r="52" spans="1:19" x14ac:dyDescent="0.25">
      <c r="A52" s="39" t="s">
        <v>422</v>
      </c>
      <c r="B52" t="s">
        <v>458</v>
      </c>
      <c r="C52" t="s">
        <v>459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Q52" s="16">
        <v>1</v>
      </c>
    </row>
    <row r="53" spans="1:19" x14ac:dyDescent="0.25">
      <c r="A53" s="39" t="s">
        <v>422</v>
      </c>
      <c r="B53" t="s">
        <v>449</v>
      </c>
      <c r="C53" t="s">
        <v>450</v>
      </c>
      <c r="D53" s="16">
        <v>1</v>
      </c>
      <c r="E53" s="16">
        <v>1</v>
      </c>
      <c r="F53" s="16">
        <v>1</v>
      </c>
      <c r="G53" s="16">
        <v>1</v>
      </c>
      <c r="K53" s="16" t="s">
        <v>877</v>
      </c>
      <c r="L53" s="16" t="s">
        <v>877</v>
      </c>
      <c r="N53" s="59"/>
      <c r="O53" s="59"/>
      <c r="P53" s="59"/>
      <c r="R53" s="59"/>
    </row>
    <row r="54" spans="1:19" x14ac:dyDescent="0.25">
      <c r="A54" s="39" t="s">
        <v>422</v>
      </c>
      <c r="B54" s="43" t="s">
        <v>852</v>
      </c>
      <c r="C54" t="s">
        <v>865</v>
      </c>
      <c r="K54" s="16">
        <v>1</v>
      </c>
      <c r="L54" s="16">
        <v>1</v>
      </c>
      <c r="N54" s="59"/>
      <c r="O54" s="59"/>
      <c r="P54" s="59"/>
      <c r="R54" s="59"/>
    </row>
    <row r="55" spans="1:19" x14ac:dyDescent="0.25">
      <c r="A55" s="76" t="s">
        <v>422</v>
      </c>
      <c r="B55" s="52" t="s">
        <v>1138</v>
      </c>
      <c r="C55" s="52" t="s">
        <v>1139</v>
      </c>
      <c r="D55" s="60"/>
      <c r="E55" s="60"/>
      <c r="F55" s="60"/>
      <c r="G55" s="60"/>
      <c r="H55" s="60"/>
      <c r="I55" s="60"/>
      <c r="J55" s="60"/>
      <c r="K55" s="60">
        <v>1</v>
      </c>
      <c r="L55" s="60">
        <v>1</v>
      </c>
      <c r="M55" s="60"/>
      <c r="N55" s="59">
        <v>1</v>
      </c>
      <c r="O55" s="59">
        <v>1</v>
      </c>
      <c r="P55" s="59"/>
      <c r="Q55" s="60"/>
      <c r="R55" s="59"/>
      <c r="S55" s="60"/>
    </row>
    <row r="56" spans="1:19" x14ac:dyDescent="0.25">
      <c r="A56" s="39" t="s">
        <v>422</v>
      </c>
      <c r="B56" s="43" t="s">
        <v>853</v>
      </c>
      <c r="C56" t="s">
        <v>866</v>
      </c>
      <c r="K56" s="16">
        <v>1</v>
      </c>
      <c r="L56" s="16">
        <v>1</v>
      </c>
      <c r="N56" s="59"/>
      <c r="O56" s="59"/>
      <c r="P56" s="59"/>
      <c r="R56" s="59"/>
    </row>
    <row r="57" spans="1:19" x14ac:dyDescent="0.25">
      <c r="A57" s="39" t="s">
        <v>422</v>
      </c>
      <c r="B57" t="s">
        <v>1000</v>
      </c>
      <c r="C57" t="s">
        <v>505</v>
      </c>
      <c r="K57" s="16">
        <v>1</v>
      </c>
      <c r="L57" s="16">
        <v>1</v>
      </c>
      <c r="N57" s="59"/>
      <c r="O57" s="59">
        <v>1</v>
      </c>
      <c r="P57" s="59">
        <v>1</v>
      </c>
      <c r="R57" s="59">
        <v>1</v>
      </c>
    </row>
    <row r="58" spans="1:19" x14ac:dyDescent="0.25">
      <c r="A58" s="39" t="s">
        <v>422</v>
      </c>
      <c r="B58" s="43" t="s">
        <v>854</v>
      </c>
      <c r="C58" t="s">
        <v>867</v>
      </c>
      <c r="K58" s="16">
        <v>1</v>
      </c>
      <c r="L58" s="16">
        <v>1</v>
      </c>
      <c r="N58" s="59"/>
      <c r="O58" s="59"/>
      <c r="P58" s="59"/>
      <c r="R58" s="59"/>
    </row>
    <row r="59" spans="1:19" x14ac:dyDescent="0.25">
      <c r="A59" s="39" t="s">
        <v>422</v>
      </c>
      <c r="B59" s="43" t="s">
        <v>855</v>
      </c>
      <c r="C59" t="s">
        <v>979</v>
      </c>
      <c r="K59" s="16">
        <v>1</v>
      </c>
      <c r="L59" s="16">
        <v>1</v>
      </c>
      <c r="N59" s="59"/>
      <c r="O59" s="59"/>
      <c r="P59" s="59"/>
      <c r="R59" s="59"/>
    </row>
    <row r="60" spans="1:19" x14ac:dyDescent="0.25">
      <c r="A60" s="39" t="s">
        <v>422</v>
      </c>
      <c r="B60" t="s">
        <v>486</v>
      </c>
      <c r="C60" t="s">
        <v>487</v>
      </c>
      <c r="D60" s="16">
        <v>1</v>
      </c>
      <c r="E60" s="16">
        <v>1</v>
      </c>
      <c r="F60" s="16">
        <v>1</v>
      </c>
      <c r="G60" s="16">
        <v>1</v>
      </c>
      <c r="K60" s="16">
        <v>1</v>
      </c>
      <c r="L60" s="16">
        <v>1</v>
      </c>
      <c r="N60" s="59">
        <v>1</v>
      </c>
      <c r="O60" s="59">
        <v>1</v>
      </c>
      <c r="P60" s="59">
        <v>1</v>
      </c>
      <c r="R60" s="59">
        <v>1</v>
      </c>
    </row>
    <row r="61" spans="1:19" x14ac:dyDescent="0.25">
      <c r="A61" s="39" t="s">
        <v>422</v>
      </c>
      <c r="B61" t="s">
        <v>495</v>
      </c>
      <c r="C61" t="s">
        <v>496</v>
      </c>
      <c r="D61" s="16">
        <v>1</v>
      </c>
      <c r="E61" s="16">
        <v>1</v>
      </c>
      <c r="F61" s="16">
        <v>1</v>
      </c>
      <c r="G61" s="16">
        <v>1</v>
      </c>
      <c r="K61" s="16">
        <v>1</v>
      </c>
      <c r="L61" s="16">
        <v>1</v>
      </c>
      <c r="N61" s="59">
        <v>1</v>
      </c>
      <c r="O61" s="59">
        <v>1</v>
      </c>
      <c r="P61" s="59">
        <v>1</v>
      </c>
      <c r="R61" s="59">
        <v>1</v>
      </c>
    </row>
    <row r="62" spans="1:19" x14ac:dyDescent="0.25">
      <c r="A62" s="39" t="s">
        <v>422</v>
      </c>
      <c r="B62" t="s">
        <v>1296</v>
      </c>
      <c r="C62" t="s">
        <v>1297</v>
      </c>
      <c r="N62" s="59"/>
      <c r="O62" s="59"/>
      <c r="P62" s="59"/>
      <c r="Q62" s="16">
        <v>1</v>
      </c>
      <c r="R62" s="59"/>
    </row>
    <row r="63" spans="1:19" x14ac:dyDescent="0.25">
      <c r="A63" s="39" t="s">
        <v>422</v>
      </c>
      <c r="B63" t="s">
        <v>493</v>
      </c>
      <c r="C63" t="s">
        <v>494</v>
      </c>
      <c r="D63" s="16">
        <v>1</v>
      </c>
      <c r="E63" s="16">
        <v>1</v>
      </c>
      <c r="F63" s="16">
        <v>1</v>
      </c>
      <c r="G63" s="16">
        <v>1</v>
      </c>
      <c r="K63" s="16">
        <v>1</v>
      </c>
      <c r="L63" s="16">
        <v>1</v>
      </c>
      <c r="N63" s="59">
        <v>1</v>
      </c>
      <c r="O63" s="59">
        <v>1</v>
      </c>
      <c r="P63" s="59">
        <v>1</v>
      </c>
      <c r="Q63" s="16">
        <v>1</v>
      </c>
      <c r="R63" s="59">
        <v>1</v>
      </c>
    </row>
    <row r="64" spans="1:19" x14ac:dyDescent="0.25">
      <c r="A64" s="39" t="s">
        <v>422</v>
      </c>
      <c r="B64" t="s">
        <v>1300</v>
      </c>
      <c r="C64" t="s">
        <v>1301</v>
      </c>
      <c r="N64" s="59"/>
      <c r="O64" s="59"/>
      <c r="P64" s="59"/>
      <c r="Q64" s="16">
        <v>1</v>
      </c>
      <c r="R64" s="59"/>
    </row>
    <row r="65" spans="1:19" x14ac:dyDescent="0.25">
      <c r="A65" s="39" t="s">
        <v>422</v>
      </c>
      <c r="B65" t="s">
        <v>1298</v>
      </c>
      <c r="C65" t="s">
        <v>1299</v>
      </c>
      <c r="N65" s="59"/>
      <c r="O65" s="59"/>
      <c r="P65" s="59"/>
      <c r="Q65" s="16">
        <v>1</v>
      </c>
      <c r="R65" s="59"/>
    </row>
    <row r="66" spans="1:19" x14ac:dyDescent="0.25">
      <c r="A66" s="39" t="s">
        <v>422</v>
      </c>
      <c r="B66" s="43" t="s">
        <v>857</v>
      </c>
      <c r="C66" t="s">
        <v>869</v>
      </c>
      <c r="K66" s="16">
        <v>1</v>
      </c>
      <c r="L66" s="16">
        <v>1</v>
      </c>
      <c r="N66" s="59"/>
      <c r="O66" s="59"/>
      <c r="P66" s="59"/>
      <c r="R66" s="59"/>
    </row>
    <row r="67" spans="1:19" x14ac:dyDescent="0.25">
      <c r="A67" s="39" t="s">
        <v>422</v>
      </c>
      <c r="B67" s="43" t="s">
        <v>858</v>
      </c>
      <c r="C67" t="s">
        <v>870</v>
      </c>
      <c r="K67" s="16">
        <v>1</v>
      </c>
      <c r="L67" s="16">
        <v>1</v>
      </c>
      <c r="N67" s="59">
        <v>1</v>
      </c>
      <c r="O67" s="59">
        <v>1</v>
      </c>
      <c r="P67" s="59">
        <v>1</v>
      </c>
      <c r="R67" s="59">
        <v>1</v>
      </c>
    </row>
    <row r="68" spans="1:19" x14ac:dyDescent="0.25">
      <c r="A68" s="39" t="s">
        <v>422</v>
      </c>
      <c r="B68" s="43" t="s">
        <v>859</v>
      </c>
      <c r="C68" t="s">
        <v>871</v>
      </c>
      <c r="K68" s="16">
        <v>1</v>
      </c>
      <c r="L68" s="16" t="s">
        <v>877</v>
      </c>
      <c r="N68" s="60">
        <v>1</v>
      </c>
      <c r="O68" s="60">
        <v>1</v>
      </c>
      <c r="P68" s="59">
        <v>1</v>
      </c>
      <c r="Q68" s="16">
        <v>1</v>
      </c>
      <c r="R68" s="60">
        <v>1</v>
      </c>
    </row>
    <row r="69" spans="1:19" x14ac:dyDescent="0.25">
      <c r="A69" s="39" t="s">
        <v>422</v>
      </c>
      <c r="B69" t="s">
        <v>822</v>
      </c>
      <c r="C69" t="s">
        <v>824</v>
      </c>
      <c r="K69" s="16">
        <v>1</v>
      </c>
      <c r="L69" s="16">
        <v>1</v>
      </c>
      <c r="N69" s="59">
        <v>1</v>
      </c>
      <c r="O69" s="59">
        <v>1</v>
      </c>
      <c r="P69" s="59">
        <v>1</v>
      </c>
      <c r="R69" s="59">
        <v>1</v>
      </c>
    </row>
    <row r="70" spans="1:19" x14ac:dyDescent="0.25">
      <c r="A70" s="76" t="s">
        <v>422</v>
      </c>
      <c r="B70" s="52" t="s">
        <v>995</v>
      </c>
      <c r="C70" s="52" t="s">
        <v>918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59">
        <v>1</v>
      </c>
      <c r="O70" s="59">
        <v>1</v>
      </c>
      <c r="P70" s="59">
        <v>1</v>
      </c>
      <c r="Q70" s="47"/>
      <c r="R70" s="59">
        <v>1</v>
      </c>
      <c r="S70" s="47"/>
    </row>
    <row r="71" spans="1:19" x14ac:dyDescent="0.25">
      <c r="A71" s="76" t="s">
        <v>422</v>
      </c>
      <c r="B71" s="52" t="s">
        <v>985</v>
      </c>
      <c r="C71" s="52" t="s">
        <v>916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59">
        <v>1</v>
      </c>
      <c r="O71" s="59">
        <v>1</v>
      </c>
      <c r="P71" s="59">
        <v>1</v>
      </c>
      <c r="Q71" s="47"/>
      <c r="R71" s="59">
        <v>1</v>
      </c>
      <c r="S71" s="47"/>
    </row>
    <row r="72" spans="1:19" x14ac:dyDescent="0.25">
      <c r="A72" s="76" t="s">
        <v>422</v>
      </c>
      <c r="B72" s="52" t="s">
        <v>1012</v>
      </c>
      <c r="C72" s="52" t="s">
        <v>917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59">
        <v>1</v>
      </c>
      <c r="O72" s="59">
        <v>1</v>
      </c>
      <c r="P72" s="59">
        <v>1</v>
      </c>
      <c r="Q72" s="47"/>
      <c r="R72" s="59">
        <v>1</v>
      </c>
      <c r="S72" s="47"/>
    </row>
    <row r="73" spans="1:19" x14ac:dyDescent="0.25">
      <c r="A73" s="39" t="s">
        <v>422</v>
      </c>
      <c r="B73" s="43" t="s">
        <v>856</v>
      </c>
      <c r="C73" t="s">
        <v>1020</v>
      </c>
      <c r="K73" s="16">
        <v>1</v>
      </c>
      <c r="L73" s="16">
        <v>1</v>
      </c>
      <c r="N73" s="59"/>
      <c r="O73" s="59">
        <v>1</v>
      </c>
      <c r="P73" s="59">
        <v>1</v>
      </c>
      <c r="R73" s="59">
        <v>1</v>
      </c>
    </row>
    <row r="74" spans="1:19" x14ac:dyDescent="0.25">
      <c r="A74" s="76" t="s">
        <v>422</v>
      </c>
      <c r="B74" s="77" t="s">
        <v>1013</v>
      </c>
      <c r="C74" s="52" t="s">
        <v>923</v>
      </c>
      <c r="D74" s="47"/>
      <c r="E74" s="47"/>
      <c r="F74" s="47"/>
      <c r="G74" s="47"/>
      <c r="H74" s="47"/>
      <c r="I74" s="47"/>
      <c r="J74" s="47"/>
      <c r="K74" s="47"/>
      <c r="L74" s="47"/>
      <c r="M74" s="60"/>
      <c r="N74" s="59"/>
      <c r="O74" s="59">
        <v>1</v>
      </c>
      <c r="P74" s="59">
        <v>1</v>
      </c>
      <c r="Q74" s="47"/>
      <c r="R74" s="59">
        <v>1</v>
      </c>
      <c r="S74" s="47"/>
    </row>
    <row r="75" spans="1:19" x14ac:dyDescent="0.25">
      <c r="A75" s="76" t="s">
        <v>422</v>
      </c>
      <c r="B75" s="77" t="s">
        <v>1014</v>
      </c>
      <c r="C75" s="52" t="s">
        <v>924</v>
      </c>
      <c r="D75" s="47"/>
      <c r="E75" s="47"/>
      <c r="F75" s="47"/>
      <c r="G75" s="47"/>
      <c r="H75" s="47"/>
      <c r="I75" s="47"/>
      <c r="J75" s="47"/>
      <c r="K75" s="47"/>
      <c r="L75" s="47"/>
      <c r="M75" s="60"/>
      <c r="N75" s="59"/>
      <c r="O75" s="59">
        <v>1</v>
      </c>
      <c r="P75" s="59">
        <v>1</v>
      </c>
      <c r="Q75" s="60">
        <v>1</v>
      </c>
      <c r="R75" s="59">
        <v>1</v>
      </c>
      <c r="S75" s="47"/>
    </row>
    <row r="76" spans="1:19" x14ac:dyDescent="0.25">
      <c r="A76" s="39" t="s">
        <v>422</v>
      </c>
      <c r="B76" s="43" t="s">
        <v>861</v>
      </c>
      <c r="C76" t="s">
        <v>873</v>
      </c>
      <c r="K76" s="16">
        <v>1</v>
      </c>
      <c r="N76" s="59"/>
      <c r="O76" s="59"/>
      <c r="P76" s="59"/>
      <c r="R76" s="59">
        <v>1</v>
      </c>
    </row>
    <row r="77" spans="1:19" x14ac:dyDescent="0.25">
      <c r="A77" s="39" t="s">
        <v>422</v>
      </c>
      <c r="B77" t="s">
        <v>1015</v>
      </c>
      <c r="C77" t="s">
        <v>455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K77" s="16">
        <v>1</v>
      </c>
      <c r="L77" s="16">
        <v>1</v>
      </c>
      <c r="N77" s="59">
        <v>1</v>
      </c>
      <c r="O77" s="59">
        <v>1</v>
      </c>
      <c r="P77" s="59">
        <v>1</v>
      </c>
      <c r="R77" s="59">
        <v>1</v>
      </c>
    </row>
    <row r="78" spans="1:19" x14ac:dyDescent="0.25">
      <c r="A78" s="39" t="s">
        <v>422</v>
      </c>
      <c r="B78" t="s">
        <v>462</v>
      </c>
      <c r="C78" t="s">
        <v>463</v>
      </c>
      <c r="H78" s="16">
        <v>1</v>
      </c>
      <c r="I78" s="16">
        <v>1</v>
      </c>
      <c r="K78" s="16" t="s">
        <v>877</v>
      </c>
      <c r="L78" s="16" t="s">
        <v>877</v>
      </c>
    </row>
    <row r="79" spans="1:19" x14ac:dyDescent="0.25">
      <c r="A79" s="39" t="s">
        <v>422</v>
      </c>
      <c r="B79" t="s">
        <v>490</v>
      </c>
      <c r="C79" t="s">
        <v>491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N79" s="60">
        <v>1</v>
      </c>
      <c r="O79" s="60">
        <v>1</v>
      </c>
      <c r="P79" s="59">
        <v>1</v>
      </c>
      <c r="Q79" s="16">
        <v>1</v>
      </c>
      <c r="R79" s="60">
        <v>1</v>
      </c>
    </row>
    <row r="80" spans="1:19" x14ac:dyDescent="0.25">
      <c r="A80" s="39" t="s">
        <v>422</v>
      </c>
      <c r="B80" t="s">
        <v>438</v>
      </c>
      <c r="C80" t="s">
        <v>439</v>
      </c>
      <c r="K80" s="16" t="s">
        <v>877</v>
      </c>
      <c r="L80" s="16" t="s">
        <v>877</v>
      </c>
      <c r="N80" s="59"/>
      <c r="O80" s="59"/>
      <c r="P80" s="59"/>
      <c r="R80" s="59"/>
    </row>
    <row r="81" spans="1:19" x14ac:dyDescent="0.25">
      <c r="A81" s="39" t="s">
        <v>422</v>
      </c>
      <c r="B81" t="s">
        <v>441</v>
      </c>
      <c r="C81" t="s">
        <v>442</v>
      </c>
      <c r="K81" s="16" t="s">
        <v>877</v>
      </c>
      <c r="L81" s="16" t="s">
        <v>877</v>
      </c>
      <c r="N81" s="59"/>
      <c r="O81" s="59"/>
      <c r="P81" s="59"/>
      <c r="R81" s="59"/>
    </row>
    <row r="82" spans="1:19" x14ac:dyDescent="0.25">
      <c r="A82" s="39" t="s">
        <v>422</v>
      </c>
      <c r="B82" t="s">
        <v>443</v>
      </c>
      <c r="C82" t="s">
        <v>444</v>
      </c>
      <c r="K82" s="16" t="s">
        <v>877</v>
      </c>
      <c r="L82" s="16" t="s">
        <v>877</v>
      </c>
      <c r="N82" s="59"/>
      <c r="O82" s="59"/>
      <c r="P82" s="59"/>
      <c r="R82" s="59"/>
    </row>
    <row r="83" spans="1:19" x14ac:dyDescent="0.25">
      <c r="A83" s="39" t="s">
        <v>422</v>
      </c>
      <c r="B83" t="s">
        <v>992</v>
      </c>
      <c r="C83" t="s">
        <v>469</v>
      </c>
      <c r="K83" s="16" t="s">
        <v>877</v>
      </c>
      <c r="L83" s="16" t="s">
        <v>877</v>
      </c>
      <c r="N83" s="59"/>
      <c r="O83" s="59"/>
      <c r="P83" s="59"/>
      <c r="Q83" s="16">
        <v>1</v>
      </c>
      <c r="R83" s="59"/>
    </row>
    <row r="84" spans="1:19" x14ac:dyDescent="0.25">
      <c r="A84" s="39" t="s">
        <v>422</v>
      </c>
      <c r="B84" t="s">
        <v>482</v>
      </c>
      <c r="C84" t="s">
        <v>483</v>
      </c>
      <c r="K84" s="16" t="s">
        <v>877</v>
      </c>
      <c r="L84" s="16" t="s">
        <v>877</v>
      </c>
      <c r="N84" s="59"/>
      <c r="O84" s="59"/>
      <c r="P84" s="59"/>
      <c r="R84" s="59"/>
    </row>
    <row r="85" spans="1:19" x14ac:dyDescent="0.25">
      <c r="A85" s="39" t="s">
        <v>422</v>
      </c>
      <c r="B85" s="43" t="s">
        <v>860</v>
      </c>
      <c r="C85" t="s">
        <v>872</v>
      </c>
      <c r="K85" s="16" t="s">
        <v>877</v>
      </c>
      <c r="L85" s="16" t="s">
        <v>877</v>
      </c>
      <c r="N85" s="59"/>
      <c r="O85" s="59"/>
      <c r="P85" s="59"/>
      <c r="R85" s="59"/>
    </row>
    <row r="86" spans="1:19" x14ac:dyDescent="0.25">
      <c r="A86" s="39" t="s">
        <v>422</v>
      </c>
      <c r="B86" s="43" t="s">
        <v>862</v>
      </c>
      <c r="C86" t="s">
        <v>874</v>
      </c>
      <c r="K86" s="16">
        <v>1</v>
      </c>
      <c r="N86" s="59"/>
      <c r="O86" s="59"/>
      <c r="P86" s="59"/>
      <c r="R86" s="59"/>
    </row>
    <row r="87" spans="1:19" x14ac:dyDescent="0.25">
      <c r="A87" s="39" t="s">
        <v>422</v>
      </c>
      <c r="B87" s="43" t="s">
        <v>863</v>
      </c>
      <c r="C87" t="s">
        <v>875</v>
      </c>
      <c r="K87" s="16">
        <v>1</v>
      </c>
      <c r="L87" s="16" t="s">
        <v>877</v>
      </c>
      <c r="N87" s="59"/>
      <c r="O87" s="59"/>
      <c r="P87" s="59"/>
      <c r="R87" s="59"/>
    </row>
    <row r="88" spans="1:19" x14ac:dyDescent="0.25">
      <c r="A88" s="39" t="s">
        <v>422</v>
      </c>
      <c r="B88" s="43" t="s">
        <v>864</v>
      </c>
      <c r="C88" t="s">
        <v>876</v>
      </c>
      <c r="K88" s="16">
        <v>1</v>
      </c>
      <c r="L88" s="16" t="s">
        <v>877</v>
      </c>
      <c r="N88" s="59"/>
      <c r="O88" s="59"/>
      <c r="P88" s="59"/>
      <c r="R88" s="59"/>
    </row>
    <row r="89" spans="1:19" x14ac:dyDescent="0.25">
      <c r="A89" s="76" t="s">
        <v>422</v>
      </c>
      <c r="B89" s="77" t="s">
        <v>919</v>
      </c>
      <c r="C89" s="52" t="s">
        <v>920</v>
      </c>
      <c r="D89" s="47"/>
      <c r="E89" s="47"/>
      <c r="F89" s="47"/>
      <c r="G89" s="47"/>
      <c r="H89" s="47"/>
      <c r="I89" s="47"/>
      <c r="J89" s="47"/>
      <c r="K89" s="47" t="s">
        <v>877</v>
      </c>
      <c r="L89" s="47" t="s">
        <v>877</v>
      </c>
      <c r="M89" s="47"/>
      <c r="N89" s="59">
        <v>1</v>
      </c>
      <c r="O89" s="59"/>
      <c r="P89" s="59"/>
      <c r="Q89" s="47"/>
      <c r="R89" s="59"/>
      <c r="S89" s="47"/>
    </row>
    <row r="90" spans="1:19" x14ac:dyDescent="0.25">
      <c r="A90" s="76" t="s">
        <v>422</v>
      </c>
      <c r="B90" s="77" t="s">
        <v>921</v>
      </c>
      <c r="C90" s="52" t="s">
        <v>922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59"/>
      <c r="O90" s="59"/>
      <c r="P90" s="59"/>
      <c r="Q90" s="47"/>
      <c r="R90" s="59"/>
      <c r="S90" s="47"/>
    </row>
    <row r="91" spans="1:19" x14ac:dyDescent="0.25">
      <c r="A91" s="39" t="s">
        <v>510</v>
      </c>
      <c r="B91" t="s">
        <v>981</v>
      </c>
      <c r="C91" t="s">
        <v>511</v>
      </c>
      <c r="M91" s="60">
        <v>1</v>
      </c>
      <c r="N91" s="59">
        <v>1</v>
      </c>
      <c r="O91" s="59">
        <v>1</v>
      </c>
      <c r="P91" s="59">
        <v>1</v>
      </c>
      <c r="R91" s="59">
        <v>1</v>
      </c>
      <c r="S91" s="16">
        <v>1</v>
      </c>
    </row>
    <row r="92" spans="1:19" x14ac:dyDescent="0.25">
      <c r="A92" s="39" t="s">
        <v>510</v>
      </c>
      <c r="B92" t="s">
        <v>512</v>
      </c>
      <c r="C92" t="s">
        <v>513</v>
      </c>
      <c r="M92" s="60" t="s">
        <v>877</v>
      </c>
      <c r="N92" s="59"/>
      <c r="O92" s="59"/>
      <c r="P92" s="59"/>
      <c r="R92" s="59"/>
    </row>
    <row r="93" spans="1:19" x14ac:dyDescent="0.25">
      <c r="A93" s="39" t="s">
        <v>510</v>
      </c>
      <c r="B93" t="s">
        <v>514</v>
      </c>
      <c r="C93" t="s">
        <v>515</v>
      </c>
      <c r="M93" s="60" t="s">
        <v>877</v>
      </c>
      <c r="N93" s="59"/>
      <c r="O93" s="59"/>
      <c r="P93" s="59"/>
      <c r="R93" s="59"/>
    </row>
    <row r="94" spans="1:19" x14ac:dyDescent="0.25">
      <c r="A94" s="76" t="s">
        <v>510</v>
      </c>
      <c r="B94" t="s">
        <v>516</v>
      </c>
      <c r="C94" t="s">
        <v>517</v>
      </c>
      <c r="H94" s="16">
        <v>1</v>
      </c>
      <c r="I94" s="16">
        <v>1</v>
      </c>
      <c r="J94" s="16">
        <v>1</v>
      </c>
      <c r="M94" s="60" t="s">
        <v>877</v>
      </c>
      <c r="N94" s="60">
        <v>1</v>
      </c>
      <c r="O94" s="60">
        <v>1</v>
      </c>
      <c r="P94" s="59">
        <v>1</v>
      </c>
      <c r="Q94" s="16">
        <v>1</v>
      </c>
      <c r="R94" s="60">
        <v>1</v>
      </c>
      <c r="S94" s="16">
        <v>1</v>
      </c>
    </row>
    <row r="95" spans="1:19" x14ac:dyDescent="0.25">
      <c r="A95" s="76" t="s">
        <v>510</v>
      </c>
      <c r="B95" t="s">
        <v>518</v>
      </c>
      <c r="C95" t="s">
        <v>517</v>
      </c>
      <c r="D95" s="16">
        <v>1</v>
      </c>
      <c r="E95" s="16">
        <v>1</v>
      </c>
      <c r="F95" s="16">
        <v>1</v>
      </c>
      <c r="G95" s="16">
        <v>1</v>
      </c>
      <c r="M95" s="60" t="s">
        <v>877</v>
      </c>
      <c r="N95" s="59"/>
      <c r="O95" s="59"/>
      <c r="P95" s="59"/>
      <c r="R95" s="59"/>
    </row>
    <row r="96" spans="1:19" x14ac:dyDescent="0.25">
      <c r="A96" s="76" t="s">
        <v>510</v>
      </c>
      <c r="B96" s="52" t="s">
        <v>516</v>
      </c>
      <c r="C96" t="s">
        <v>517</v>
      </c>
      <c r="D96" s="47"/>
      <c r="E96" s="47"/>
      <c r="F96" s="47"/>
      <c r="G96" s="47"/>
      <c r="H96" s="47"/>
      <c r="I96" s="47"/>
      <c r="J96" s="47"/>
      <c r="K96" s="47"/>
      <c r="L96" s="47"/>
      <c r="M96" s="60">
        <v>1</v>
      </c>
      <c r="N96" s="59"/>
      <c r="O96" s="59"/>
      <c r="P96" s="61"/>
      <c r="Q96" s="47"/>
      <c r="R96" s="61"/>
      <c r="S96" s="47"/>
    </row>
    <row r="97" spans="1:19" x14ac:dyDescent="0.25">
      <c r="A97" s="76" t="s">
        <v>510</v>
      </c>
      <c r="B97" t="s">
        <v>519</v>
      </c>
      <c r="C97" t="s">
        <v>520</v>
      </c>
      <c r="H97" s="16">
        <v>1</v>
      </c>
      <c r="I97" s="16">
        <v>1</v>
      </c>
      <c r="J97" s="16">
        <v>1</v>
      </c>
      <c r="M97" s="60" t="s">
        <v>877</v>
      </c>
      <c r="N97" s="60">
        <v>1</v>
      </c>
      <c r="O97" s="60">
        <v>1</v>
      </c>
      <c r="P97" s="59">
        <v>1</v>
      </c>
      <c r="Q97" s="16">
        <v>1</v>
      </c>
      <c r="R97" s="60">
        <v>1</v>
      </c>
      <c r="S97" s="16">
        <v>1</v>
      </c>
    </row>
    <row r="98" spans="1:19" x14ac:dyDescent="0.25">
      <c r="A98" s="76" t="s">
        <v>510</v>
      </c>
      <c r="B98" t="s">
        <v>521</v>
      </c>
      <c r="C98" t="s">
        <v>520</v>
      </c>
      <c r="D98" s="16">
        <v>1</v>
      </c>
      <c r="E98" s="16">
        <v>1</v>
      </c>
      <c r="F98" s="16">
        <v>1</v>
      </c>
      <c r="G98" s="16">
        <v>1</v>
      </c>
      <c r="M98" s="60" t="s">
        <v>877</v>
      </c>
      <c r="N98" s="59"/>
      <c r="O98" s="59"/>
      <c r="P98" s="59"/>
      <c r="R98" s="59"/>
    </row>
    <row r="99" spans="1:19" x14ac:dyDescent="0.25">
      <c r="A99" s="76" t="s">
        <v>510</v>
      </c>
      <c r="B99" s="52" t="s">
        <v>519</v>
      </c>
      <c r="C99" t="s">
        <v>520</v>
      </c>
      <c r="D99" s="47"/>
      <c r="E99" s="47"/>
      <c r="F99" s="47"/>
      <c r="G99" s="47"/>
      <c r="H99" s="47"/>
      <c r="I99" s="47"/>
      <c r="J99" s="47"/>
      <c r="K99" s="47"/>
      <c r="L99" s="47"/>
      <c r="M99" s="60">
        <v>1</v>
      </c>
      <c r="N99" s="59"/>
      <c r="O99" s="59"/>
      <c r="P99" s="61"/>
      <c r="Q99" s="47"/>
      <c r="R99" s="61"/>
      <c r="S99" s="47"/>
    </row>
    <row r="100" spans="1:19" x14ac:dyDescent="0.25">
      <c r="A100" s="76" t="s">
        <v>510</v>
      </c>
      <c r="B100" t="s">
        <v>1290</v>
      </c>
      <c r="C100" t="s">
        <v>522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M100" s="60">
        <v>1</v>
      </c>
      <c r="N100" s="60">
        <v>1</v>
      </c>
      <c r="O100" s="60">
        <v>1</v>
      </c>
      <c r="P100" s="59">
        <v>1</v>
      </c>
      <c r="Q100" s="16">
        <v>1</v>
      </c>
      <c r="R100" s="16">
        <v>1</v>
      </c>
      <c r="S100" s="16">
        <v>1</v>
      </c>
    </row>
    <row r="101" spans="1:19" x14ac:dyDescent="0.25">
      <c r="A101" s="76" t="s">
        <v>510</v>
      </c>
      <c r="B101" t="s">
        <v>1003</v>
      </c>
      <c r="C101" t="s">
        <v>523</v>
      </c>
      <c r="M101" s="60" t="s">
        <v>877</v>
      </c>
      <c r="N101" s="59"/>
      <c r="O101" s="59"/>
      <c r="P101" s="59"/>
      <c r="R101" s="59"/>
    </row>
    <row r="102" spans="1:19" x14ac:dyDescent="0.25">
      <c r="A102" s="39" t="s">
        <v>510</v>
      </c>
      <c r="B102" t="s">
        <v>524</v>
      </c>
      <c r="C102" t="s">
        <v>525</v>
      </c>
      <c r="H102" s="16">
        <v>1</v>
      </c>
      <c r="I102" s="16">
        <v>1</v>
      </c>
      <c r="J102" s="16">
        <v>1</v>
      </c>
      <c r="M102" s="60">
        <v>1</v>
      </c>
      <c r="N102" s="60">
        <v>1</v>
      </c>
      <c r="O102" s="60">
        <v>1</v>
      </c>
      <c r="P102" s="59">
        <v>1</v>
      </c>
      <c r="Q102" s="16">
        <v>1</v>
      </c>
      <c r="R102" s="60">
        <v>1</v>
      </c>
      <c r="S102" s="16">
        <v>1</v>
      </c>
    </row>
    <row r="103" spans="1:19" x14ac:dyDescent="0.25">
      <c r="A103" s="39" t="s">
        <v>510</v>
      </c>
      <c r="B103" t="s">
        <v>526</v>
      </c>
      <c r="C103" t="s">
        <v>525</v>
      </c>
      <c r="D103" s="16">
        <v>1</v>
      </c>
      <c r="E103" s="16">
        <v>1</v>
      </c>
      <c r="F103" s="16">
        <v>1</v>
      </c>
      <c r="G103" s="16">
        <v>1</v>
      </c>
      <c r="M103" s="16" t="s">
        <v>877</v>
      </c>
      <c r="N103" s="59"/>
      <c r="O103" s="59"/>
      <c r="P103" s="59"/>
      <c r="R103" s="59"/>
    </row>
    <row r="104" spans="1:19" x14ac:dyDescent="0.25">
      <c r="A104" s="39" t="s">
        <v>510</v>
      </c>
      <c r="B104" t="s">
        <v>527</v>
      </c>
      <c r="C104" t="s">
        <v>528</v>
      </c>
      <c r="M104" s="16" t="s">
        <v>877</v>
      </c>
      <c r="N104" s="59"/>
      <c r="O104" s="59"/>
      <c r="P104" s="59"/>
      <c r="R104" s="59"/>
    </row>
    <row r="105" spans="1:19" x14ac:dyDescent="0.25">
      <c r="A105" s="39" t="s">
        <v>510</v>
      </c>
      <c r="B105" t="s">
        <v>1004</v>
      </c>
      <c r="C105" t="s">
        <v>529</v>
      </c>
      <c r="M105" s="16" t="s">
        <v>877</v>
      </c>
      <c r="N105" s="59"/>
      <c r="O105" s="59"/>
      <c r="P105" s="59"/>
      <c r="R105" s="59"/>
    </row>
    <row r="106" spans="1:19" x14ac:dyDescent="0.25">
      <c r="A106" s="39" t="s">
        <v>510</v>
      </c>
      <c r="B106" t="s">
        <v>1005</v>
      </c>
      <c r="C106" t="s">
        <v>530</v>
      </c>
      <c r="M106" s="16" t="s">
        <v>877</v>
      </c>
      <c r="N106" s="59"/>
      <c r="O106" s="59"/>
      <c r="P106" s="59"/>
      <c r="R106" s="59"/>
    </row>
    <row r="107" spans="1:19" x14ac:dyDescent="0.25">
      <c r="A107" s="39" t="s">
        <v>510</v>
      </c>
      <c r="B107" t="s">
        <v>1006</v>
      </c>
      <c r="C107" t="s">
        <v>531</v>
      </c>
      <c r="M107" s="16" t="s">
        <v>877</v>
      </c>
      <c r="N107" s="59"/>
      <c r="O107" s="59"/>
      <c r="P107" s="59"/>
      <c r="R107" s="59"/>
    </row>
    <row r="108" spans="1:19" x14ac:dyDescent="0.25">
      <c r="A108" s="39" t="s">
        <v>510</v>
      </c>
      <c r="B108" t="s">
        <v>532</v>
      </c>
      <c r="C108" t="s">
        <v>533</v>
      </c>
      <c r="M108" s="16" t="s">
        <v>877</v>
      </c>
      <c r="N108" s="59"/>
      <c r="O108" s="59"/>
      <c r="P108" s="59"/>
      <c r="R108" s="59"/>
    </row>
    <row r="109" spans="1:19" x14ac:dyDescent="0.25">
      <c r="A109" s="39" t="s">
        <v>510</v>
      </c>
      <c r="B109" t="s">
        <v>534</v>
      </c>
      <c r="C109" t="s">
        <v>535</v>
      </c>
      <c r="M109" s="16" t="s">
        <v>877</v>
      </c>
      <c r="N109" s="59"/>
      <c r="O109" s="59"/>
      <c r="P109" s="59"/>
      <c r="R109" s="59"/>
    </row>
    <row r="110" spans="1:19" x14ac:dyDescent="0.25">
      <c r="A110" s="39" t="s">
        <v>510</v>
      </c>
      <c r="B110" t="s">
        <v>536</v>
      </c>
      <c r="C110" t="s">
        <v>537</v>
      </c>
      <c r="M110" s="16" t="s">
        <v>877</v>
      </c>
      <c r="N110" s="59"/>
      <c r="O110" s="59"/>
      <c r="P110" s="59"/>
      <c r="R110" s="59"/>
    </row>
    <row r="111" spans="1:19" x14ac:dyDescent="0.25">
      <c r="A111" s="39" t="s">
        <v>510</v>
      </c>
      <c r="B111" t="s">
        <v>538</v>
      </c>
      <c r="C111" t="s">
        <v>539</v>
      </c>
      <c r="M111" s="16" t="s">
        <v>877</v>
      </c>
      <c r="N111" s="59"/>
      <c r="O111" s="59"/>
      <c r="P111" s="59"/>
      <c r="R111" s="59"/>
    </row>
    <row r="112" spans="1:19" x14ac:dyDescent="0.25">
      <c r="A112" s="39" t="s">
        <v>510</v>
      </c>
      <c r="B112" t="s">
        <v>540</v>
      </c>
      <c r="C112" t="s">
        <v>541</v>
      </c>
      <c r="M112" s="16" t="s">
        <v>877</v>
      </c>
      <c r="N112" s="59"/>
      <c r="O112" s="59"/>
      <c r="P112" s="59"/>
      <c r="R112" s="59"/>
    </row>
    <row r="113" spans="1:19" x14ac:dyDescent="0.25">
      <c r="A113" s="39" t="s">
        <v>510</v>
      </c>
      <c r="B113" t="s">
        <v>1007</v>
      </c>
      <c r="C113" t="s">
        <v>542</v>
      </c>
      <c r="M113" s="16" t="s">
        <v>877</v>
      </c>
      <c r="N113" s="59"/>
      <c r="O113" s="59"/>
      <c r="P113" s="59"/>
      <c r="R113" s="59"/>
    </row>
    <row r="114" spans="1:19" x14ac:dyDescent="0.25">
      <c r="A114" s="39" t="s">
        <v>510</v>
      </c>
      <c r="B114" t="s">
        <v>543</v>
      </c>
      <c r="C114" t="s">
        <v>544</v>
      </c>
      <c r="M114" s="16" t="s">
        <v>877</v>
      </c>
      <c r="N114" s="59"/>
      <c r="O114" s="59"/>
      <c r="P114" s="59"/>
      <c r="R114" s="59"/>
    </row>
    <row r="115" spans="1:19" x14ac:dyDescent="0.25">
      <c r="A115" s="39" t="s">
        <v>510</v>
      </c>
      <c r="B115" t="s">
        <v>1008</v>
      </c>
      <c r="C115" t="s">
        <v>545</v>
      </c>
      <c r="M115" s="16" t="s">
        <v>877</v>
      </c>
      <c r="N115" s="59"/>
      <c r="O115" s="59"/>
      <c r="P115" s="59"/>
      <c r="R115" s="59"/>
    </row>
    <row r="116" spans="1:19" x14ac:dyDescent="0.25">
      <c r="A116" s="39" t="s">
        <v>510</v>
      </c>
      <c r="B116" t="s">
        <v>546</v>
      </c>
      <c r="C116" t="s">
        <v>547</v>
      </c>
      <c r="H116" s="16">
        <v>1</v>
      </c>
      <c r="I116" s="16">
        <v>1</v>
      </c>
      <c r="J116" s="16">
        <v>1</v>
      </c>
      <c r="M116" s="16">
        <v>1</v>
      </c>
      <c r="N116" s="60">
        <v>1</v>
      </c>
      <c r="O116" s="60">
        <v>1</v>
      </c>
      <c r="P116" s="59">
        <v>1</v>
      </c>
      <c r="Q116" s="16">
        <v>1</v>
      </c>
      <c r="R116" s="60">
        <v>1</v>
      </c>
      <c r="S116" s="16">
        <v>1</v>
      </c>
    </row>
    <row r="117" spans="1:19" x14ac:dyDescent="0.25">
      <c r="A117" s="39" t="s">
        <v>510</v>
      </c>
      <c r="B117" t="s">
        <v>548</v>
      </c>
      <c r="C117" t="s">
        <v>547</v>
      </c>
      <c r="D117" s="16">
        <v>1</v>
      </c>
      <c r="E117" s="16">
        <v>1</v>
      </c>
      <c r="F117" s="16">
        <v>1</v>
      </c>
      <c r="G117" s="16">
        <v>1</v>
      </c>
      <c r="M117" s="16" t="s">
        <v>877</v>
      </c>
      <c r="N117" s="59"/>
      <c r="O117" s="59"/>
      <c r="P117" s="59"/>
      <c r="R117" s="59"/>
    </row>
    <row r="118" spans="1:19" x14ac:dyDescent="0.25">
      <c r="A118" s="39" t="s">
        <v>510</v>
      </c>
      <c r="B118" t="s">
        <v>549</v>
      </c>
      <c r="C118" t="s">
        <v>550</v>
      </c>
      <c r="H118" s="16">
        <v>1</v>
      </c>
      <c r="I118" s="16">
        <v>1</v>
      </c>
      <c r="J118" s="16">
        <v>1</v>
      </c>
      <c r="M118" s="16">
        <v>1</v>
      </c>
      <c r="N118" s="60">
        <v>1</v>
      </c>
      <c r="O118" s="60">
        <v>1</v>
      </c>
      <c r="P118" s="59">
        <v>1</v>
      </c>
      <c r="Q118" s="16">
        <v>1</v>
      </c>
      <c r="R118" s="60">
        <v>1</v>
      </c>
      <c r="S118" s="16">
        <v>1</v>
      </c>
    </row>
    <row r="119" spans="1:19" x14ac:dyDescent="0.25">
      <c r="A119" s="39" t="s">
        <v>510</v>
      </c>
      <c r="B119" t="s">
        <v>551</v>
      </c>
      <c r="C119" t="s">
        <v>550</v>
      </c>
      <c r="D119" s="16">
        <v>1</v>
      </c>
      <c r="E119" s="16">
        <v>1</v>
      </c>
      <c r="F119" s="16">
        <v>1</v>
      </c>
      <c r="G119" s="16">
        <v>1</v>
      </c>
      <c r="M119" s="16" t="s">
        <v>877</v>
      </c>
      <c r="N119" s="59"/>
      <c r="O119" s="59"/>
      <c r="P119" s="59"/>
      <c r="R119" s="59"/>
    </row>
    <row r="120" spans="1:19" x14ac:dyDescent="0.25">
      <c r="A120" s="39" t="s">
        <v>510</v>
      </c>
      <c r="B120" t="s">
        <v>552</v>
      </c>
      <c r="C120" t="s">
        <v>553</v>
      </c>
      <c r="M120" s="16" t="s">
        <v>877</v>
      </c>
      <c r="N120" s="59"/>
      <c r="O120" s="59"/>
      <c r="P120" s="59"/>
      <c r="R120" s="59"/>
    </row>
    <row r="121" spans="1:19" x14ac:dyDescent="0.25">
      <c r="A121" s="39" t="s">
        <v>510</v>
      </c>
      <c r="B121" t="s">
        <v>554</v>
      </c>
      <c r="C121" t="s">
        <v>555</v>
      </c>
      <c r="M121" s="16" t="s">
        <v>877</v>
      </c>
      <c r="N121" s="59"/>
      <c r="O121" s="59"/>
      <c r="P121" s="59"/>
      <c r="R121" s="59"/>
    </row>
    <row r="122" spans="1:19" x14ac:dyDescent="0.25">
      <c r="A122" s="39" t="s">
        <v>510</v>
      </c>
      <c r="B122" t="s">
        <v>1009</v>
      </c>
      <c r="C122" t="s">
        <v>556</v>
      </c>
      <c r="M122" s="16" t="s">
        <v>877</v>
      </c>
      <c r="N122" s="59"/>
      <c r="O122" s="59"/>
      <c r="P122" s="59"/>
      <c r="R122" s="59"/>
    </row>
    <row r="123" spans="1:19" x14ac:dyDescent="0.25">
      <c r="A123" s="39" t="s">
        <v>510</v>
      </c>
      <c r="B123" t="s">
        <v>557</v>
      </c>
      <c r="C123" t="s">
        <v>558</v>
      </c>
      <c r="M123" s="16" t="s">
        <v>877</v>
      </c>
      <c r="N123" s="59"/>
      <c r="O123" s="59"/>
      <c r="P123" s="59"/>
      <c r="R123" s="59"/>
    </row>
    <row r="124" spans="1:19" x14ac:dyDescent="0.25">
      <c r="A124" s="39" t="s">
        <v>510</v>
      </c>
      <c r="B124" t="s">
        <v>559</v>
      </c>
      <c r="C124" t="s">
        <v>560</v>
      </c>
      <c r="M124" s="16" t="s">
        <v>877</v>
      </c>
      <c r="N124" s="59"/>
      <c r="O124" s="59"/>
      <c r="P124" s="59"/>
      <c r="R124" s="59"/>
    </row>
    <row r="125" spans="1:19" x14ac:dyDescent="0.25">
      <c r="A125" s="39" t="s">
        <v>510</v>
      </c>
      <c r="B125" t="s">
        <v>561</v>
      </c>
      <c r="C125" t="s">
        <v>562</v>
      </c>
      <c r="M125" s="16" t="s">
        <v>877</v>
      </c>
      <c r="N125" s="59"/>
      <c r="O125" s="59"/>
      <c r="P125" s="59"/>
      <c r="R125" s="59"/>
    </row>
    <row r="126" spans="1:19" x14ac:dyDescent="0.25">
      <c r="A126" s="39" t="s">
        <v>510</v>
      </c>
      <c r="B126" t="s">
        <v>563</v>
      </c>
      <c r="C126" t="s">
        <v>564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M126" s="16">
        <v>1</v>
      </c>
      <c r="N126" s="60">
        <v>1</v>
      </c>
      <c r="O126" s="60">
        <v>1</v>
      </c>
      <c r="P126" s="59">
        <v>1</v>
      </c>
      <c r="Q126" s="16">
        <v>1</v>
      </c>
      <c r="R126" s="60">
        <v>1</v>
      </c>
      <c r="S126" s="16">
        <v>1</v>
      </c>
    </row>
    <row r="127" spans="1:19" x14ac:dyDescent="0.25">
      <c r="A127" s="39" t="s">
        <v>510</v>
      </c>
      <c r="B127" t="s">
        <v>565</v>
      </c>
      <c r="C127" t="s">
        <v>566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M127" s="16">
        <v>1</v>
      </c>
      <c r="N127" s="60">
        <v>1</v>
      </c>
      <c r="O127" s="60">
        <v>1</v>
      </c>
      <c r="P127" s="59">
        <v>1</v>
      </c>
      <c r="Q127" s="16">
        <v>1</v>
      </c>
      <c r="R127" s="60">
        <v>1</v>
      </c>
      <c r="S127" s="16">
        <v>1</v>
      </c>
    </row>
    <row r="128" spans="1:19" x14ac:dyDescent="0.25">
      <c r="A128" s="39" t="s">
        <v>510</v>
      </c>
      <c r="B128" t="s">
        <v>567</v>
      </c>
      <c r="C128" t="s">
        <v>568</v>
      </c>
      <c r="K128" s="16" t="s">
        <v>877</v>
      </c>
      <c r="L128" s="16" t="s">
        <v>877</v>
      </c>
      <c r="M128" s="16" t="s">
        <v>877</v>
      </c>
      <c r="N128" s="59"/>
      <c r="O128" s="59"/>
      <c r="P128" s="59"/>
      <c r="R128" s="59"/>
    </row>
    <row r="129" spans="1:18" x14ac:dyDescent="0.25">
      <c r="A129" s="39" t="s">
        <v>510</v>
      </c>
      <c r="B129" t="s">
        <v>569</v>
      </c>
      <c r="C129" t="s">
        <v>570</v>
      </c>
      <c r="K129" s="16" t="s">
        <v>877</v>
      </c>
      <c r="L129" s="16" t="s">
        <v>877</v>
      </c>
      <c r="M129" s="16" t="s">
        <v>877</v>
      </c>
      <c r="N129" s="59"/>
      <c r="O129" s="59"/>
      <c r="P129" s="59"/>
      <c r="R129" s="59"/>
    </row>
    <row r="130" spans="1:18" x14ac:dyDescent="0.25">
      <c r="A130" s="39" t="s">
        <v>510</v>
      </c>
      <c r="B130" t="s">
        <v>571</v>
      </c>
      <c r="C130" t="s">
        <v>572</v>
      </c>
      <c r="K130" s="16" t="s">
        <v>877</v>
      </c>
      <c r="L130" s="16" t="s">
        <v>877</v>
      </c>
      <c r="M130" s="16" t="s">
        <v>877</v>
      </c>
      <c r="N130" s="59"/>
      <c r="O130" s="59"/>
      <c r="P130" s="59"/>
      <c r="R130" s="59"/>
    </row>
    <row r="131" spans="1:18" x14ac:dyDescent="0.25">
      <c r="A131" s="39" t="s">
        <v>510</v>
      </c>
      <c r="B131" t="s">
        <v>573</v>
      </c>
      <c r="C131" t="s">
        <v>574</v>
      </c>
      <c r="K131" s="16" t="s">
        <v>877</v>
      </c>
      <c r="L131" s="16" t="s">
        <v>877</v>
      </c>
      <c r="M131" s="16" t="s">
        <v>877</v>
      </c>
      <c r="N131" s="59"/>
      <c r="O131" s="59"/>
      <c r="P131" s="59"/>
      <c r="R131" s="59"/>
    </row>
    <row r="132" spans="1:18" x14ac:dyDescent="0.25">
      <c r="A132" s="39" t="s">
        <v>510</v>
      </c>
      <c r="B132" t="s">
        <v>575</v>
      </c>
      <c r="C132" t="s">
        <v>576</v>
      </c>
      <c r="K132" s="16" t="s">
        <v>877</v>
      </c>
      <c r="L132" s="16" t="s">
        <v>877</v>
      </c>
      <c r="M132" s="16" t="s">
        <v>877</v>
      </c>
      <c r="N132" s="59"/>
      <c r="O132" s="59"/>
      <c r="P132" s="59"/>
      <c r="R132" s="59"/>
    </row>
  </sheetData>
  <autoFilter ref="A2:S132" xr:uid="{5665271E-1132-43AC-B598-7CC90760208B}"/>
  <pageMargins left="0.7" right="0.7" top="0.75" bottom="0.75" header="0.3" footer="0.3"/>
  <pageSetup paperSize="9" orientation="portrait" verticalDpi="0" r:id="rId1"/>
  <headerFooter>
    <oddFooter>&amp;C&amp;1#&amp;"Calibri"&amp;10&amp;K000000Usage Interne /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B0FD-2CF9-40C2-849A-5D4809DD8ECC}">
  <sheetPr codeName="Feuil5"/>
  <dimension ref="A1:E102"/>
  <sheetViews>
    <sheetView workbookViewId="0"/>
  </sheetViews>
  <sheetFormatPr baseColWidth="10" defaultRowHeight="15" x14ac:dyDescent="0.25"/>
  <cols>
    <col min="1" max="1" width="34.140625" bestFit="1" customWidth="1"/>
    <col min="4" max="4" width="12.85546875" bestFit="1" customWidth="1"/>
  </cols>
  <sheetData>
    <row r="1" spans="1:5" x14ac:dyDescent="0.25">
      <c r="A1" s="17" t="s">
        <v>577</v>
      </c>
      <c r="B1" s="17" t="s">
        <v>578</v>
      </c>
      <c r="C1" s="35"/>
      <c r="D1" s="17" t="s">
        <v>440</v>
      </c>
      <c r="E1" s="17" t="s">
        <v>579</v>
      </c>
    </row>
    <row r="2" spans="1:5" ht="15.75" x14ac:dyDescent="0.25">
      <c r="A2" s="36" t="s">
        <v>580</v>
      </c>
      <c r="B2">
        <v>813</v>
      </c>
      <c r="D2" t="s">
        <v>581</v>
      </c>
      <c r="E2" t="s">
        <v>582</v>
      </c>
    </row>
    <row r="3" spans="1:5" ht="15.75" x14ac:dyDescent="0.25">
      <c r="A3" s="36" t="s">
        <v>583</v>
      </c>
      <c r="B3">
        <v>872</v>
      </c>
      <c r="D3" t="s">
        <v>584</v>
      </c>
      <c r="E3" t="s">
        <v>585</v>
      </c>
    </row>
    <row r="4" spans="1:5" ht="15.75" x14ac:dyDescent="0.25">
      <c r="A4" s="36" t="s">
        <v>586</v>
      </c>
      <c r="B4">
        <v>879</v>
      </c>
      <c r="D4" t="s">
        <v>587</v>
      </c>
      <c r="E4" t="s">
        <v>588</v>
      </c>
    </row>
    <row r="5" spans="1:5" ht="15.75" x14ac:dyDescent="0.25">
      <c r="A5" s="36" t="s">
        <v>589</v>
      </c>
      <c r="B5">
        <v>833</v>
      </c>
      <c r="D5" t="s">
        <v>590</v>
      </c>
      <c r="E5" t="s">
        <v>591</v>
      </c>
    </row>
    <row r="6" spans="1:5" ht="15.75" x14ac:dyDescent="0.25">
      <c r="A6" s="36" t="s">
        <v>592</v>
      </c>
      <c r="B6">
        <v>847</v>
      </c>
      <c r="D6" t="s">
        <v>593</v>
      </c>
      <c r="E6" t="s">
        <v>594</v>
      </c>
    </row>
    <row r="7" spans="1:5" ht="15.75" x14ac:dyDescent="0.25">
      <c r="A7" s="36" t="s">
        <v>595</v>
      </c>
      <c r="B7">
        <v>887</v>
      </c>
      <c r="D7" t="s">
        <v>596</v>
      </c>
      <c r="E7" t="s">
        <v>597</v>
      </c>
    </row>
    <row r="8" spans="1:5" ht="15.75" x14ac:dyDescent="0.25">
      <c r="A8" s="36" t="s">
        <v>598</v>
      </c>
      <c r="B8">
        <v>868</v>
      </c>
      <c r="D8" t="s">
        <v>599</v>
      </c>
      <c r="E8" t="s">
        <v>600</v>
      </c>
    </row>
    <row r="9" spans="1:5" ht="15.75" x14ac:dyDescent="0.25">
      <c r="A9" s="36" t="s">
        <v>601</v>
      </c>
      <c r="B9">
        <v>848</v>
      </c>
      <c r="D9" t="s">
        <v>602</v>
      </c>
      <c r="E9" t="s">
        <v>603</v>
      </c>
    </row>
    <row r="10" spans="1:5" ht="15.75" x14ac:dyDescent="0.25">
      <c r="A10" s="36" t="s">
        <v>604</v>
      </c>
      <c r="B10">
        <v>895</v>
      </c>
      <c r="D10" t="s">
        <v>605</v>
      </c>
      <c r="E10" t="s">
        <v>606</v>
      </c>
    </row>
    <row r="11" spans="1:5" ht="15.75" x14ac:dyDescent="0.25">
      <c r="A11" s="36" t="s">
        <v>607</v>
      </c>
      <c r="B11">
        <v>878</v>
      </c>
      <c r="D11" t="s">
        <v>608</v>
      </c>
      <c r="E11" t="s">
        <v>609</v>
      </c>
    </row>
    <row r="12" spans="1:5" ht="15.75" x14ac:dyDescent="0.25">
      <c r="A12" s="36" t="s">
        <v>610</v>
      </c>
      <c r="B12">
        <v>810</v>
      </c>
      <c r="D12" t="s">
        <v>611</v>
      </c>
      <c r="E12" t="s">
        <v>612</v>
      </c>
    </row>
    <row r="13" spans="1:5" ht="15.75" x14ac:dyDescent="0.25">
      <c r="A13" s="36" t="s">
        <v>613</v>
      </c>
      <c r="B13">
        <v>817</v>
      </c>
      <c r="D13" t="s">
        <v>614</v>
      </c>
      <c r="E13" t="s">
        <v>615</v>
      </c>
    </row>
    <row r="14" spans="1:5" ht="15.75" x14ac:dyDescent="0.25">
      <c r="A14" s="36" t="s">
        <v>616</v>
      </c>
      <c r="B14">
        <v>824</v>
      </c>
      <c r="D14" t="s">
        <v>617</v>
      </c>
      <c r="E14" t="s">
        <v>618</v>
      </c>
    </row>
    <row r="15" spans="1:5" ht="15.75" x14ac:dyDescent="0.25">
      <c r="A15" s="36" t="s">
        <v>619</v>
      </c>
      <c r="B15">
        <v>822</v>
      </c>
      <c r="D15" t="s">
        <v>620</v>
      </c>
      <c r="E15" t="s">
        <v>621</v>
      </c>
    </row>
    <row r="16" spans="1:5" ht="15.75" x14ac:dyDescent="0.25">
      <c r="A16" s="36" t="s">
        <v>622</v>
      </c>
      <c r="B16">
        <v>881</v>
      </c>
      <c r="D16" t="s">
        <v>623</v>
      </c>
      <c r="E16" t="s">
        <v>624</v>
      </c>
    </row>
    <row r="17" spans="1:5" ht="15.75" x14ac:dyDescent="0.25">
      <c r="A17" s="36" t="s">
        <v>625</v>
      </c>
      <c r="B17">
        <v>829</v>
      </c>
      <c r="D17" t="s">
        <v>626</v>
      </c>
      <c r="E17" t="s">
        <v>627</v>
      </c>
    </row>
    <row r="18" spans="1:5" ht="15.75" x14ac:dyDescent="0.25">
      <c r="A18" s="36" t="s">
        <v>628</v>
      </c>
      <c r="B18">
        <v>825</v>
      </c>
      <c r="D18" t="s">
        <v>629</v>
      </c>
      <c r="E18" t="s">
        <v>630</v>
      </c>
    </row>
    <row r="19" spans="1:5" ht="15.75" x14ac:dyDescent="0.25">
      <c r="A19" s="36" t="s">
        <v>631</v>
      </c>
      <c r="B19">
        <v>836</v>
      </c>
      <c r="D19" t="s">
        <v>632</v>
      </c>
      <c r="E19" t="s">
        <v>633</v>
      </c>
    </row>
    <row r="20" spans="1:5" ht="15.75" x14ac:dyDescent="0.25">
      <c r="A20" s="36" t="s">
        <v>634</v>
      </c>
      <c r="B20">
        <v>835</v>
      </c>
      <c r="D20" t="s">
        <v>635</v>
      </c>
      <c r="E20" t="s">
        <v>636</v>
      </c>
    </row>
    <row r="21" spans="1:5" ht="15.75" x14ac:dyDescent="0.25">
      <c r="A21" s="36" t="s">
        <v>637</v>
      </c>
      <c r="B21">
        <v>845</v>
      </c>
      <c r="D21" t="s">
        <v>638</v>
      </c>
      <c r="E21" t="s">
        <v>639</v>
      </c>
    </row>
    <row r="22" spans="1:5" ht="15.75" x14ac:dyDescent="0.25">
      <c r="A22" s="36" t="s">
        <v>640</v>
      </c>
      <c r="B22">
        <v>861</v>
      </c>
      <c r="D22" t="s">
        <v>641</v>
      </c>
      <c r="E22" t="s">
        <v>642</v>
      </c>
    </row>
    <row r="23" spans="1:5" ht="15.75" x14ac:dyDescent="0.25">
      <c r="A23" s="36" t="s">
        <v>643</v>
      </c>
      <c r="B23">
        <v>902</v>
      </c>
      <c r="D23" t="s">
        <v>644</v>
      </c>
      <c r="E23" t="s">
        <v>645</v>
      </c>
    </row>
    <row r="24" spans="1:5" ht="15.75" x14ac:dyDescent="0.25">
      <c r="A24" s="36" t="s">
        <v>646</v>
      </c>
      <c r="B24">
        <v>860</v>
      </c>
      <c r="D24" t="s">
        <v>647</v>
      </c>
      <c r="E24" t="s">
        <v>648</v>
      </c>
    </row>
    <row r="25" spans="1:5" ht="15.75" x14ac:dyDescent="0.25">
      <c r="A25" s="36" t="s">
        <v>649</v>
      </c>
      <c r="B25">
        <v>867</v>
      </c>
      <c r="D25" t="s">
        <v>650</v>
      </c>
      <c r="E25" t="s">
        <v>651</v>
      </c>
    </row>
    <row r="26" spans="1:5" ht="15.75" x14ac:dyDescent="0.25">
      <c r="A26" s="36" t="s">
        <v>652</v>
      </c>
      <c r="B26">
        <v>802</v>
      </c>
      <c r="D26" t="s">
        <v>653</v>
      </c>
      <c r="E26" t="s">
        <v>654</v>
      </c>
    </row>
    <row r="27" spans="1:5" ht="15.75" x14ac:dyDescent="0.25">
      <c r="A27" s="36" t="s">
        <v>655</v>
      </c>
      <c r="B27">
        <v>812</v>
      </c>
      <c r="D27" t="s">
        <v>656</v>
      </c>
      <c r="E27" t="s">
        <v>657</v>
      </c>
    </row>
    <row r="28" spans="1:5" ht="15.75" x14ac:dyDescent="0.25">
      <c r="A28" s="36" t="s">
        <v>658</v>
      </c>
      <c r="B28">
        <v>866</v>
      </c>
      <c r="D28" t="s">
        <v>659</v>
      </c>
      <c r="E28" t="s">
        <v>660</v>
      </c>
    </row>
    <row r="29" spans="1:5" ht="15.75" x14ac:dyDescent="0.25">
      <c r="A29" s="36" t="s">
        <v>661</v>
      </c>
      <c r="B29">
        <v>883</v>
      </c>
      <c r="D29" t="s">
        <v>662</v>
      </c>
      <c r="E29" t="s">
        <v>663</v>
      </c>
    </row>
    <row r="30" spans="1:5" ht="15.75" x14ac:dyDescent="0.25">
      <c r="A30" s="36" t="s">
        <v>664</v>
      </c>
      <c r="B30">
        <v>891</v>
      </c>
      <c r="D30" t="s">
        <v>665</v>
      </c>
      <c r="E30" t="s">
        <v>666</v>
      </c>
    </row>
    <row r="31" spans="1:5" ht="15.75" x14ac:dyDescent="0.25">
      <c r="A31" s="36" t="s">
        <v>667</v>
      </c>
      <c r="B31">
        <v>869</v>
      </c>
      <c r="D31" t="s">
        <v>668</v>
      </c>
      <c r="E31" t="s">
        <v>669</v>
      </c>
    </row>
    <row r="32" spans="1:5" ht="15.75" x14ac:dyDescent="0.25">
      <c r="A32" s="36" t="s">
        <v>670</v>
      </c>
      <c r="B32">
        <v>871</v>
      </c>
      <c r="D32" t="s">
        <v>671</v>
      </c>
      <c r="E32" t="s">
        <v>672</v>
      </c>
    </row>
    <row r="33" spans="1:5" ht="15.75" x14ac:dyDescent="0.25">
      <c r="A33" s="36" t="s">
        <v>673</v>
      </c>
      <c r="B33">
        <v>839</v>
      </c>
      <c r="D33" t="s">
        <v>674</v>
      </c>
      <c r="E33" t="s">
        <v>675</v>
      </c>
    </row>
    <row r="34" spans="1:5" ht="15.75" x14ac:dyDescent="0.25">
      <c r="A34" s="36" t="s">
        <v>676</v>
      </c>
      <c r="B34">
        <v>894</v>
      </c>
      <c r="D34" t="s">
        <v>677</v>
      </c>
      <c r="E34" t="s">
        <v>678</v>
      </c>
    </row>
    <row r="35" spans="1:5" ht="15.75" x14ac:dyDescent="0.25">
      <c r="A35" s="36" t="s">
        <v>679</v>
      </c>
      <c r="B35">
        <v>844</v>
      </c>
      <c r="D35" t="s">
        <v>680</v>
      </c>
      <c r="E35" t="s">
        <v>681</v>
      </c>
    </row>
    <row r="36" spans="1:5" x14ac:dyDescent="0.25">
      <c r="D36" t="s">
        <v>682</v>
      </c>
      <c r="E36" t="s">
        <v>683</v>
      </c>
    </row>
    <row r="37" spans="1:5" x14ac:dyDescent="0.25">
      <c r="D37" t="s">
        <v>684</v>
      </c>
      <c r="E37" t="s">
        <v>685</v>
      </c>
    </row>
    <row r="38" spans="1:5" x14ac:dyDescent="0.25">
      <c r="D38" t="s">
        <v>686</v>
      </c>
      <c r="E38" t="s">
        <v>687</v>
      </c>
    </row>
    <row r="39" spans="1:5" x14ac:dyDescent="0.25">
      <c r="D39" t="s">
        <v>688</v>
      </c>
      <c r="E39" t="s">
        <v>689</v>
      </c>
    </row>
    <row r="40" spans="1:5" x14ac:dyDescent="0.25">
      <c r="D40" t="s">
        <v>690</v>
      </c>
      <c r="E40" t="s">
        <v>691</v>
      </c>
    </row>
    <row r="41" spans="1:5" x14ac:dyDescent="0.25">
      <c r="D41" t="s">
        <v>692</v>
      </c>
      <c r="E41" t="s">
        <v>693</v>
      </c>
    </row>
    <row r="42" spans="1:5" x14ac:dyDescent="0.25">
      <c r="D42" t="s">
        <v>694</v>
      </c>
      <c r="E42" t="s">
        <v>695</v>
      </c>
    </row>
    <row r="43" spans="1:5" x14ac:dyDescent="0.25">
      <c r="D43" t="s">
        <v>696</v>
      </c>
      <c r="E43" t="s">
        <v>697</v>
      </c>
    </row>
    <row r="44" spans="1:5" x14ac:dyDescent="0.25">
      <c r="D44" t="s">
        <v>698</v>
      </c>
      <c r="E44" t="s">
        <v>699</v>
      </c>
    </row>
    <row r="45" spans="1:5" x14ac:dyDescent="0.25">
      <c r="D45" t="s">
        <v>700</v>
      </c>
      <c r="E45" t="s">
        <v>701</v>
      </c>
    </row>
    <row r="46" spans="1:5" x14ac:dyDescent="0.25">
      <c r="D46" t="s">
        <v>702</v>
      </c>
      <c r="E46" t="s">
        <v>703</v>
      </c>
    </row>
    <row r="47" spans="1:5" x14ac:dyDescent="0.25">
      <c r="D47" t="s">
        <v>704</v>
      </c>
      <c r="E47" t="s">
        <v>705</v>
      </c>
    </row>
    <row r="48" spans="1:5" x14ac:dyDescent="0.25">
      <c r="D48" t="s">
        <v>706</v>
      </c>
      <c r="E48" t="s">
        <v>707</v>
      </c>
    </row>
    <row r="49" spans="4:5" x14ac:dyDescent="0.25">
      <c r="D49" t="s">
        <v>708</v>
      </c>
      <c r="E49" t="s">
        <v>709</v>
      </c>
    </row>
    <row r="50" spans="4:5" x14ac:dyDescent="0.25">
      <c r="D50" t="s">
        <v>710</v>
      </c>
      <c r="E50" t="s">
        <v>711</v>
      </c>
    </row>
    <row r="51" spans="4:5" x14ac:dyDescent="0.25">
      <c r="D51" t="s">
        <v>712</v>
      </c>
      <c r="E51" t="s">
        <v>713</v>
      </c>
    </row>
    <row r="52" spans="4:5" x14ac:dyDescent="0.25">
      <c r="D52" t="s">
        <v>714</v>
      </c>
      <c r="E52" t="s">
        <v>715</v>
      </c>
    </row>
    <row r="53" spans="4:5" x14ac:dyDescent="0.25">
      <c r="D53" t="s">
        <v>716</v>
      </c>
      <c r="E53" t="s">
        <v>717</v>
      </c>
    </row>
    <row r="54" spans="4:5" x14ac:dyDescent="0.25">
      <c r="D54" t="s">
        <v>718</v>
      </c>
      <c r="E54" t="s">
        <v>719</v>
      </c>
    </row>
    <row r="55" spans="4:5" x14ac:dyDescent="0.25">
      <c r="D55" t="s">
        <v>720</v>
      </c>
      <c r="E55" t="s">
        <v>721</v>
      </c>
    </row>
    <row r="56" spans="4:5" x14ac:dyDescent="0.25">
      <c r="D56" t="s">
        <v>722</v>
      </c>
      <c r="E56" t="s">
        <v>723</v>
      </c>
    </row>
    <row r="57" spans="4:5" x14ac:dyDescent="0.25">
      <c r="D57" t="s">
        <v>724</v>
      </c>
      <c r="E57" t="s">
        <v>725</v>
      </c>
    </row>
    <row r="58" spans="4:5" x14ac:dyDescent="0.25">
      <c r="D58" t="s">
        <v>726</v>
      </c>
      <c r="E58" t="s">
        <v>727</v>
      </c>
    </row>
    <row r="59" spans="4:5" x14ac:dyDescent="0.25">
      <c r="D59" t="s">
        <v>728</v>
      </c>
      <c r="E59" t="s">
        <v>729</v>
      </c>
    </row>
    <row r="60" spans="4:5" x14ac:dyDescent="0.25">
      <c r="D60" t="s">
        <v>730</v>
      </c>
      <c r="E60" t="s">
        <v>731</v>
      </c>
    </row>
    <row r="61" spans="4:5" x14ac:dyDescent="0.25">
      <c r="D61" t="s">
        <v>732</v>
      </c>
      <c r="E61" t="s">
        <v>733</v>
      </c>
    </row>
    <row r="62" spans="4:5" x14ac:dyDescent="0.25">
      <c r="D62" t="s">
        <v>734</v>
      </c>
      <c r="E62" t="s">
        <v>735</v>
      </c>
    </row>
    <row r="63" spans="4:5" x14ac:dyDescent="0.25">
      <c r="D63" t="s">
        <v>736</v>
      </c>
      <c r="E63" t="s">
        <v>737</v>
      </c>
    </row>
    <row r="64" spans="4:5" x14ac:dyDescent="0.25">
      <c r="D64" t="s">
        <v>738</v>
      </c>
      <c r="E64" t="s">
        <v>739</v>
      </c>
    </row>
    <row r="65" spans="4:5" x14ac:dyDescent="0.25">
      <c r="D65" t="s">
        <v>740</v>
      </c>
      <c r="E65" t="s">
        <v>741</v>
      </c>
    </row>
    <row r="66" spans="4:5" x14ac:dyDescent="0.25">
      <c r="D66" t="s">
        <v>742</v>
      </c>
      <c r="E66" t="s">
        <v>743</v>
      </c>
    </row>
    <row r="67" spans="4:5" x14ac:dyDescent="0.25">
      <c r="D67" t="s">
        <v>744</v>
      </c>
      <c r="E67" t="s">
        <v>745</v>
      </c>
    </row>
    <row r="68" spans="4:5" x14ac:dyDescent="0.25">
      <c r="D68" t="s">
        <v>746</v>
      </c>
      <c r="E68" t="s">
        <v>747</v>
      </c>
    </row>
    <row r="69" spans="4:5" x14ac:dyDescent="0.25">
      <c r="D69" t="s">
        <v>748</v>
      </c>
      <c r="E69" t="s">
        <v>749</v>
      </c>
    </row>
    <row r="70" spans="4:5" x14ac:dyDescent="0.25">
      <c r="D70" t="s">
        <v>750</v>
      </c>
      <c r="E70" t="s">
        <v>751</v>
      </c>
    </row>
    <row r="71" spans="4:5" x14ac:dyDescent="0.25">
      <c r="D71" t="s">
        <v>752</v>
      </c>
      <c r="E71" t="s">
        <v>753</v>
      </c>
    </row>
    <row r="72" spans="4:5" x14ac:dyDescent="0.25">
      <c r="D72" t="s">
        <v>754</v>
      </c>
      <c r="E72" t="s">
        <v>755</v>
      </c>
    </row>
    <row r="73" spans="4:5" x14ac:dyDescent="0.25">
      <c r="D73" t="s">
        <v>756</v>
      </c>
      <c r="E73" t="s">
        <v>757</v>
      </c>
    </row>
    <row r="74" spans="4:5" x14ac:dyDescent="0.25">
      <c r="D74" t="s">
        <v>758</v>
      </c>
      <c r="E74" t="s">
        <v>759</v>
      </c>
    </row>
    <row r="75" spans="4:5" x14ac:dyDescent="0.25">
      <c r="D75" t="s">
        <v>760</v>
      </c>
      <c r="E75" t="s">
        <v>761</v>
      </c>
    </row>
    <row r="76" spans="4:5" x14ac:dyDescent="0.25">
      <c r="D76" t="s">
        <v>762</v>
      </c>
      <c r="E76" t="s">
        <v>763</v>
      </c>
    </row>
    <row r="77" spans="4:5" x14ac:dyDescent="0.25">
      <c r="D77" t="s">
        <v>764</v>
      </c>
      <c r="E77" t="s">
        <v>765</v>
      </c>
    </row>
    <row r="78" spans="4:5" x14ac:dyDescent="0.25">
      <c r="D78" t="s">
        <v>766</v>
      </c>
      <c r="E78" t="s">
        <v>767</v>
      </c>
    </row>
    <row r="79" spans="4:5" x14ac:dyDescent="0.25">
      <c r="D79" t="s">
        <v>768</v>
      </c>
      <c r="E79" t="s">
        <v>769</v>
      </c>
    </row>
    <row r="80" spans="4:5" x14ac:dyDescent="0.25">
      <c r="D80" t="s">
        <v>770</v>
      </c>
      <c r="E80" t="s">
        <v>771</v>
      </c>
    </row>
    <row r="81" spans="4:5" x14ac:dyDescent="0.25">
      <c r="D81" t="s">
        <v>772</v>
      </c>
      <c r="E81" t="s">
        <v>773</v>
      </c>
    </row>
    <row r="82" spans="4:5" x14ac:dyDescent="0.25">
      <c r="D82" t="s">
        <v>774</v>
      </c>
      <c r="E82" t="s">
        <v>775</v>
      </c>
    </row>
    <row r="83" spans="4:5" x14ac:dyDescent="0.25">
      <c r="D83" t="s">
        <v>776</v>
      </c>
      <c r="E83" t="s">
        <v>777</v>
      </c>
    </row>
    <row r="84" spans="4:5" x14ac:dyDescent="0.25">
      <c r="D84" t="s">
        <v>778</v>
      </c>
      <c r="E84" t="s">
        <v>779</v>
      </c>
    </row>
    <row r="85" spans="4:5" x14ac:dyDescent="0.25">
      <c r="D85" t="s">
        <v>780</v>
      </c>
      <c r="E85" t="s">
        <v>781</v>
      </c>
    </row>
    <row r="86" spans="4:5" x14ac:dyDescent="0.25">
      <c r="D86" t="s">
        <v>782</v>
      </c>
      <c r="E86" t="s">
        <v>783</v>
      </c>
    </row>
    <row r="87" spans="4:5" x14ac:dyDescent="0.25">
      <c r="D87" t="s">
        <v>784</v>
      </c>
      <c r="E87" t="s">
        <v>785</v>
      </c>
    </row>
    <row r="88" spans="4:5" x14ac:dyDescent="0.25">
      <c r="D88" t="s">
        <v>786</v>
      </c>
      <c r="E88" t="s">
        <v>787</v>
      </c>
    </row>
    <row r="89" spans="4:5" x14ac:dyDescent="0.25">
      <c r="D89" t="s">
        <v>788</v>
      </c>
      <c r="E89" t="s">
        <v>789</v>
      </c>
    </row>
    <row r="90" spans="4:5" x14ac:dyDescent="0.25">
      <c r="D90" t="s">
        <v>790</v>
      </c>
      <c r="E90" t="s">
        <v>791</v>
      </c>
    </row>
    <row r="91" spans="4:5" x14ac:dyDescent="0.25">
      <c r="D91" t="s">
        <v>792</v>
      </c>
      <c r="E91" t="s">
        <v>793</v>
      </c>
    </row>
    <row r="92" spans="4:5" x14ac:dyDescent="0.25">
      <c r="D92" t="s">
        <v>794</v>
      </c>
      <c r="E92" t="s">
        <v>795</v>
      </c>
    </row>
    <row r="93" spans="4:5" x14ac:dyDescent="0.25">
      <c r="D93" t="s">
        <v>796</v>
      </c>
      <c r="E93" t="s">
        <v>797</v>
      </c>
    </row>
    <row r="94" spans="4:5" x14ac:dyDescent="0.25">
      <c r="D94" t="s">
        <v>798</v>
      </c>
      <c r="E94" t="s">
        <v>799</v>
      </c>
    </row>
    <row r="95" spans="4:5" x14ac:dyDescent="0.25">
      <c r="D95" t="s">
        <v>800</v>
      </c>
      <c r="E95" t="s">
        <v>801</v>
      </c>
    </row>
    <row r="96" spans="4:5" x14ac:dyDescent="0.25">
      <c r="D96" t="s">
        <v>802</v>
      </c>
      <c r="E96" t="s">
        <v>803</v>
      </c>
    </row>
    <row r="97" spans="4:5" x14ac:dyDescent="0.25">
      <c r="D97" t="s">
        <v>804</v>
      </c>
      <c r="E97" t="s">
        <v>805</v>
      </c>
    </row>
    <row r="98" spans="4:5" x14ac:dyDescent="0.25">
      <c r="D98" t="s">
        <v>806</v>
      </c>
      <c r="E98" t="s">
        <v>807</v>
      </c>
    </row>
    <row r="99" spans="4:5" x14ac:dyDescent="0.25">
      <c r="D99" t="s">
        <v>806</v>
      </c>
      <c r="E99" t="s">
        <v>808</v>
      </c>
    </row>
    <row r="100" spans="4:5" x14ac:dyDescent="0.25">
      <c r="D100" t="s">
        <v>806</v>
      </c>
      <c r="E100" t="s">
        <v>809</v>
      </c>
    </row>
    <row r="101" spans="4:5" x14ac:dyDescent="0.25">
      <c r="D101" t="s">
        <v>806</v>
      </c>
      <c r="E101" t="s">
        <v>810</v>
      </c>
    </row>
    <row r="102" spans="4:5" x14ac:dyDescent="0.25">
      <c r="D102" t="s">
        <v>806</v>
      </c>
      <c r="E102" t="s">
        <v>811</v>
      </c>
    </row>
  </sheetData>
  <pageMargins left="0.7" right="0.7" top="0.75" bottom="0.75" header="0.3" footer="0.3"/>
  <pageSetup paperSize="9" orientation="portrait" verticalDpi="0" r:id="rId1"/>
  <headerFooter>
    <oddFooter>&amp;C&amp;1#&amp;"Calibri"&amp;10&amp;K000000Usage Interne /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B141-078E-4F9D-9FCD-969008D9909F}">
  <sheetPr codeName="Feuil8"/>
  <dimension ref="A1:T853"/>
  <sheetViews>
    <sheetView tabSelected="1" topLeftCell="D1" workbookViewId="0">
      <selection activeCell="I1" sqref="I1"/>
    </sheetView>
  </sheetViews>
  <sheetFormatPr baseColWidth="10" defaultRowHeight="15" x14ac:dyDescent="0.25"/>
  <cols>
    <col min="1" max="1" width="10.85546875" style="52"/>
    <col min="2" max="2" width="16.42578125" style="30" bestFit="1" customWidth="1"/>
    <col min="3" max="3" width="23.42578125" bestFit="1" customWidth="1"/>
    <col min="4" max="4" width="30.42578125" style="16" bestFit="1" customWidth="1"/>
    <col min="5" max="5" width="12" style="16" bestFit="1" customWidth="1"/>
    <col min="6" max="6" width="40.42578125" style="23" customWidth="1"/>
    <col min="7" max="7" width="27.7109375" style="16" bestFit="1" customWidth="1"/>
    <col min="8" max="8" width="87.5703125" style="54" customWidth="1"/>
    <col min="9" max="9" width="40.42578125" customWidth="1"/>
    <col min="10" max="10" width="24.5703125" customWidth="1"/>
    <col min="11" max="11" width="34.42578125" customWidth="1"/>
    <col min="12" max="12" width="45.28515625" customWidth="1"/>
    <col min="13" max="13" width="36.5703125" customWidth="1"/>
    <col min="16" max="16" width="51.28515625" bestFit="1" customWidth="1"/>
    <col min="19" max="19" width="45.42578125" bestFit="1" customWidth="1"/>
  </cols>
  <sheetData>
    <row r="1" spans="1:20" x14ac:dyDescent="0.25">
      <c r="A1" s="55" t="s">
        <v>253</v>
      </c>
      <c r="B1" s="27" t="s">
        <v>254</v>
      </c>
      <c r="C1" s="15" t="s">
        <v>396</v>
      </c>
      <c r="D1" s="15" t="s">
        <v>107</v>
      </c>
      <c r="E1" s="15" t="s">
        <v>104</v>
      </c>
      <c r="F1" s="24" t="s">
        <v>105</v>
      </c>
      <c r="G1" s="15" t="s">
        <v>106</v>
      </c>
      <c r="H1" s="90" t="s">
        <v>357</v>
      </c>
      <c r="I1" s="26" t="s">
        <v>356</v>
      </c>
      <c r="L1" s="26" t="s">
        <v>1345</v>
      </c>
      <c r="M1" s="26" t="s">
        <v>1346</v>
      </c>
    </row>
    <row r="2" spans="1:20" x14ac:dyDescent="0.25">
      <c r="A2" s="52">
        <v>1</v>
      </c>
      <c r="B2" s="28" t="s">
        <v>134</v>
      </c>
      <c r="C2" s="13" t="s">
        <v>397</v>
      </c>
      <c r="D2" s="13" t="s">
        <v>370</v>
      </c>
      <c r="E2" s="13" t="s">
        <v>0</v>
      </c>
      <c r="F2" s="18" t="s">
        <v>16</v>
      </c>
      <c r="G2" s="14" t="s">
        <v>30</v>
      </c>
      <c r="H2" s="54" t="s">
        <v>130</v>
      </c>
      <c r="J2" t="s">
        <v>831</v>
      </c>
      <c r="P2" s="82" t="s">
        <v>1219</v>
      </c>
      <c r="R2" s="82"/>
      <c r="S2" t="s">
        <v>468</v>
      </c>
      <c r="T2" s="82">
        <v>1</v>
      </c>
    </row>
    <row r="3" spans="1:20" x14ac:dyDescent="0.25">
      <c r="A3" s="52">
        <f t="shared" ref="A3:A67" si="0">+A2+1</f>
        <v>2</v>
      </c>
      <c r="B3" s="28" t="s">
        <v>134</v>
      </c>
      <c r="C3" s="13" t="s">
        <v>397</v>
      </c>
      <c r="D3" s="13" t="s">
        <v>370</v>
      </c>
      <c r="E3" s="2" t="s">
        <v>1</v>
      </c>
      <c r="F3" s="19" t="s">
        <v>17</v>
      </c>
      <c r="G3" s="4" t="s">
        <v>30</v>
      </c>
      <c r="H3" s="54" t="s">
        <v>108</v>
      </c>
      <c r="I3" t="s">
        <v>108</v>
      </c>
      <c r="J3" t="s">
        <v>829</v>
      </c>
      <c r="P3" s="82" t="s">
        <v>1220</v>
      </c>
      <c r="R3" s="82"/>
      <c r="S3" t="s">
        <v>878</v>
      </c>
      <c r="T3" s="82">
        <v>2</v>
      </c>
    </row>
    <row r="4" spans="1:20" x14ac:dyDescent="0.25">
      <c r="A4" s="52">
        <f t="shared" si="0"/>
        <v>3</v>
      </c>
      <c r="B4" s="28" t="s">
        <v>134</v>
      </c>
      <c r="C4" s="13" t="s">
        <v>397</v>
      </c>
      <c r="D4" s="13" t="s">
        <v>370</v>
      </c>
      <c r="E4" s="1" t="s">
        <v>2</v>
      </c>
      <c r="F4" s="8" t="s">
        <v>18</v>
      </c>
      <c r="G4" s="3" t="s">
        <v>30</v>
      </c>
      <c r="H4" s="54" t="s">
        <v>109</v>
      </c>
      <c r="I4" t="s">
        <v>109</v>
      </c>
      <c r="J4" t="s">
        <v>830</v>
      </c>
      <c r="K4" s="31" t="s">
        <v>471</v>
      </c>
      <c r="P4" s="82" t="s">
        <v>1221</v>
      </c>
      <c r="R4" s="82"/>
      <c r="S4" t="s">
        <v>471</v>
      </c>
      <c r="T4" s="82">
        <v>3</v>
      </c>
    </row>
    <row r="5" spans="1:20" x14ac:dyDescent="0.25">
      <c r="A5" s="52">
        <f t="shared" si="0"/>
        <v>4</v>
      </c>
      <c r="B5" s="28" t="s">
        <v>134</v>
      </c>
      <c r="C5" s="13" t="s">
        <v>397</v>
      </c>
      <c r="D5" s="13" t="s">
        <v>370</v>
      </c>
      <c r="E5" s="1" t="s">
        <v>3</v>
      </c>
      <c r="F5" s="8" t="s">
        <v>19</v>
      </c>
      <c r="G5" s="3" t="s">
        <v>30</v>
      </c>
      <c r="H5" s="54" t="s">
        <v>363</v>
      </c>
      <c r="I5" t="s">
        <v>363</v>
      </c>
      <c r="J5" t="s">
        <v>830</v>
      </c>
      <c r="K5" s="31" t="s">
        <v>425</v>
      </c>
      <c r="P5" s="82" t="s">
        <v>1222</v>
      </c>
      <c r="R5" s="82"/>
      <c r="S5" t="s">
        <v>428</v>
      </c>
      <c r="T5" s="82">
        <v>4</v>
      </c>
    </row>
    <row r="6" spans="1:20" x14ac:dyDescent="0.25">
      <c r="A6" s="52">
        <f t="shared" si="0"/>
        <v>5</v>
      </c>
      <c r="B6" s="28" t="s">
        <v>134</v>
      </c>
      <c r="C6" s="13" t="s">
        <v>397</v>
      </c>
      <c r="D6" s="13" t="s">
        <v>370</v>
      </c>
      <c r="E6" s="1" t="s">
        <v>4</v>
      </c>
      <c r="F6" s="8" t="s">
        <v>20</v>
      </c>
      <c r="G6" s="3" t="s">
        <v>30</v>
      </c>
      <c r="H6" s="54" t="s">
        <v>110</v>
      </c>
      <c r="I6" t="s">
        <v>110</v>
      </c>
      <c r="J6" t="s">
        <v>830</v>
      </c>
      <c r="K6" s="31" t="s">
        <v>426</v>
      </c>
      <c r="P6" s="82" t="s">
        <v>1223</v>
      </c>
      <c r="R6" s="82"/>
      <c r="S6" t="s">
        <v>507</v>
      </c>
      <c r="T6" s="82">
        <v>5</v>
      </c>
    </row>
    <row r="7" spans="1:20" x14ac:dyDescent="0.25">
      <c r="A7" s="52">
        <f t="shared" si="0"/>
        <v>6</v>
      </c>
      <c r="B7" s="28" t="s">
        <v>134</v>
      </c>
      <c r="C7" s="13" t="s">
        <v>397</v>
      </c>
      <c r="D7" s="13" t="s">
        <v>370</v>
      </c>
      <c r="E7" s="1" t="s">
        <v>5</v>
      </c>
      <c r="F7" s="8" t="s">
        <v>21</v>
      </c>
      <c r="G7" s="3" t="s">
        <v>30</v>
      </c>
      <c r="H7" s="54" t="s">
        <v>359</v>
      </c>
      <c r="I7" t="s">
        <v>359</v>
      </c>
      <c r="J7" t="s">
        <v>830</v>
      </c>
      <c r="K7" s="31" t="s">
        <v>827</v>
      </c>
      <c r="P7" s="82" t="s">
        <v>1224</v>
      </c>
      <c r="R7" s="82"/>
      <c r="S7" t="s">
        <v>1133</v>
      </c>
      <c r="T7" s="82">
        <v>6</v>
      </c>
    </row>
    <row r="8" spans="1:20" x14ac:dyDescent="0.25">
      <c r="A8" s="52">
        <f t="shared" si="0"/>
        <v>7</v>
      </c>
      <c r="B8" s="28" t="s">
        <v>134</v>
      </c>
      <c r="C8" s="13" t="s">
        <v>397</v>
      </c>
      <c r="D8" s="13" t="s">
        <v>370</v>
      </c>
      <c r="E8" s="1" t="s">
        <v>6</v>
      </c>
      <c r="F8" s="8" t="s">
        <v>22</v>
      </c>
      <c r="G8" s="3" t="s">
        <v>30</v>
      </c>
      <c r="H8" s="54" t="s">
        <v>1134</v>
      </c>
      <c r="I8" t="s">
        <v>881</v>
      </c>
      <c r="J8" t="s">
        <v>830</v>
      </c>
      <c r="K8" s="31" t="s">
        <v>428</v>
      </c>
      <c r="P8" s="82" t="s">
        <v>1225</v>
      </c>
      <c r="R8" s="82"/>
      <c r="S8" t="s">
        <v>880</v>
      </c>
      <c r="T8" s="82">
        <v>7</v>
      </c>
    </row>
    <row r="9" spans="1:20" x14ac:dyDescent="0.25">
      <c r="A9" s="52">
        <f t="shared" si="0"/>
        <v>8</v>
      </c>
      <c r="B9" s="28" t="s">
        <v>134</v>
      </c>
      <c r="C9" s="13" t="s">
        <v>397</v>
      </c>
      <c r="D9" s="13" t="s">
        <v>370</v>
      </c>
      <c r="E9" s="1" t="s">
        <v>7</v>
      </c>
      <c r="F9" s="8" t="s">
        <v>23</v>
      </c>
      <c r="G9" s="3" t="s">
        <v>30</v>
      </c>
      <c r="H9" s="54" t="s">
        <v>882</v>
      </c>
      <c r="I9" t="s">
        <v>360</v>
      </c>
      <c r="J9" t="s">
        <v>832</v>
      </c>
      <c r="K9" t="s">
        <v>429</v>
      </c>
      <c r="P9" s="82" t="s">
        <v>1226</v>
      </c>
      <c r="R9" s="82"/>
      <c r="S9" t="s">
        <v>431</v>
      </c>
      <c r="T9" s="82">
        <v>8</v>
      </c>
    </row>
    <row r="10" spans="1:20" x14ac:dyDescent="0.25">
      <c r="A10" s="52">
        <f t="shared" si="0"/>
        <v>9</v>
      </c>
      <c r="B10" s="28" t="s">
        <v>134</v>
      </c>
      <c r="C10" s="13" t="s">
        <v>397</v>
      </c>
      <c r="D10" s="13" t="s">
        <v>370</v>
      </c>
      <c r="E10" s="1" t="s">
        <v>8</v>
      </c>
      <c r="F10" s="8" t="s">
        <v>24</v>
      </c>
      <c r="G10" s="3" t="s">
        <v>30</v>
      </c>
      <c r="H10" s="54" t="s">
        <v>111</v>
      </c>
      <c r="I10" t="s">
        <v>111</v>
      </c>
      <c r="K10" t="s">
        <v>509</v>
      </c>
      <c r="P10" s="82" t="s">
        <v>1227</v>
      </c>
      <c r="R10" s="82"/>
      <c r="S10" t="s">
        <v>827</v>
      </c>
      <c r="T10" s="82">
        <v>9</v>
      </c>
    </row>
    <row r="11" spans="1:20" x14ac:dyDescent="0.25">
      <c r="A11" s="52">
        <f t="shared" si="0"/>
        <v>10</v>
      </c>
      <c r="B11" s="28" t="s">
        <v>134</v>
      </c>
      <c r="C11" s="13" t="s">
        <v>397</v>
      </c>
      <c r="D11" s="13" t="s">
        <v>370</v>
      </c>
      <c r="E11" s="1" t="s">
        <v>9</v>
      </c>
      <c r="F11" s="8" t="s">
        <v>25</v>
      </c>
      <c r="G11" s="3" t="s">
        <v>30</v>
      </c>
      <c r="H11" s="52" t="s">
        <v>400</v>
      </c>
      <c r="I11" t="s">
        <v>400</v>
      </c>
      <c r="K11" s="31" t="s">
        <v>435</v>
      </c>
      <c r="P11" s="82" t="s">
        <v>1228</v>
      </c>
      <c r="R11" s="82"/>
      <c r="S11" t="s">
        <v>474</v>
      </c>
      <c r="T11" s="82">
        <v>10</v>
      </c>
    </row>
    <row r="12" spans="1:20" x14ac:dyDescent="0.25">
      <c r="A12" s="52">
        <f t="shared" si="0"/>
        <v>11</v>
      </c>
      <c r="B12" s="28" t="s">
        <v>134</v>
      </c>
      <c r="C12" s="13" t="s">
        <v>397</v>
      </c>
      <c r="D12" s="13" t="s">
        <v>370</v>
      </c>
      <c r="E12" s="1" t="s">
        <v>10</v>
      </c>
      <c r="F12" s="8" t="s">
        <v>202</v>
      </c>
      <c r="G12" s="3" t="s">
        <v>30</v>
      </c>
      <c r="H12" s="54" t="s">
        <v>112</v>
      </c>
      <c r="I12" t="s">
        <v>112</v>
      </c>
      <c r="K12" s="31" t="s">
        <v>431</v>
      </c>
      <c r="P12" s="82" t="s">
        <v>1229</v>
      </c>
      <c r="R12" s="82"/>
      <c r="S12" t="s">
        <v>426</v>
      </c>
      <c r="T12" s="82">
        <v>11</v>
      </c>
    </row>
    <row r="13" spans="1:20" x14ac:dyDescent="0.25">
      <c r="A13" s="52">
        <f t="shared" si="0"/>
        <v>12</v>
      </c>
      <c r="B13" s="28" t="s">
        <v>134</v>
      </c>
      <c r="C13" s="13" t="s">
        <v>397</v>
      </c>
      <c r="D13" s="13" t="s">
        <v>370</v>
      </c>
      <c r="E13" s="1" t="s">
        <v>11</v>
      </c>
      <c r="F13" s="8" t="s">
        <v>255</v>
      </c>
      <c r="G13" s="3" t="s">
        <v>30</v>
      </c>
      <c r="H13" s="54" t="s">
        <v>361</v>
      </c>
      <c r="I13" t="s">
        <v>361</v>
      </c>
      <c r="K13" s="31" t="s">
        <v>437</v>
      </c>
      <c r="P13" s="82" t="s">
        <v>1230</v>
      </c>
      <c r="R13" s="82"/>
      <c r="S13" t="s">
        <v>499</v>
      </c>
      <c r="T13" s="82">
        <v>12</v>
      </c>
    </row>
    <row r="14" spans="1:20" x14ac:dyDescent="0.25">
      <c r="A14" s="52">
        <f t="shared" si="0"/>
        <v>13</v>
      </c>
      <c r="B14" s="28" t="s">
        <v>134</v>
      </c>
      <c r="C14" s="13" t="s">
        <v>397</v>
      </c>
      <c r="D14" s="13" t="s">
        <v>370</v>
      </c>
      <c r="E14" s="1" t="s">
        <v>12</v>
      </c>
      <c r="F14" s="8" t="s">
        <v>256</v>
      </c>
      <c r="G14" s="3" t="s">
        <v>30</v>
      </c>
      <c r="H14" s="54" t="s">
        <v>362</v>
      </c>
      <c r="I14" t="s">
        <v>362</v>
      </c>
      <c r="K14" s="31" t="s">
        <v>879</v>
      </c>
      <c r="P14" s="82" t="s">
        <v>1231</v>
      </c>
      <c r="R14" s="82"/>
      <c r="S14" t="s">
        <v>454</v>
      </c>
      <c r="T14" s="82">
        <v>13</v>
      </c>
    </row>
    <row r="15" spans="1:20" x14ac:dyDescent="0.25">
      <c r="A15" s="52">
        <f t="shared" si="0"/>
        <v>14</v>
      </c>
      <c r="B15" s="28" t="s">
        <v>134</v>
      </c>
      <c r="C15" s="13" t="s">
        <v>397</v>
      </c>
      <c r="D15" s="13" t="s">
        <v>370</v>
      </c>
      <c r="E15" s="1" t="s">
        <v>13</v>
      </c>
      <c r="F15" s="8" t="s">
        <v>26</v>
      </c>
      <c r="G15" s="3" t="s">
        <v>30</v>
      </c>
      <c r="H15" s="54" t="s">
        <v>840</v>
      </c>
      <c r="I15" t="s">
        <v>365</v>
      </c>
      <c r="K15" s="31" t="s">
        <v>446</v>
      </c>
      <c r="P15" s="82" t="s">
        <v>1232</v>
      </c>
      <c r="R15" s="82"/>
      <c r="S15" t="s">
        <v>492</v>
      </c>
      <c r="T15" s="82">
        <v>14</v>
      </c>
    </row>
    <row r="16" spans="1:20" x14ac:dyDescent="0.25">
      <c r="A16" s="52">
        <f t="shared" si="0"/>
        <v>15</v>
      </c>
      <c r="B16" s="28" t="s">
        <v>134</v>
      </c>
      <c r="C16" s="13" t="s">
        <v>397</v>
      </c>
      <c r="D16" s="13" t="s">
        <v>370</v>
      </c>
      <c r="E16" s="1" t="s">
        <v>14</v>
      </c>
      <c r="F16" s="8" t="s">
        <v>27</v>
      </c>
      <c r="G16" s="3" t="s">
        <v>31</v>
      </c>
      <c r="H16" s="54" t="s">
        <v>113</v>
      </c>
      <c r="I16" t="s">
        <v>113</v>
      </c>
      <c r="K16" s="31" t="s">
        <v>448</v>
      </c>
      <c r="P16" s="82" t="s">
        <v>1233</v>
      </c>
      <c r="R16" s="82"/>
      <c r="S16" t="s">
        <v>453</v>
      </c>
      <c r="T16" s="82">
        <v>15</v>
      </c>
    </row>
    <row r="17" spans="1:20" x14ac:dyDescent="0.25">
      <c r="A17" s="52">
        <f t="shared" si="0"/>
        <v>16</v>
      </c>
      <c r="B17" s="28" t="s">
        <v>134</v>
      </c>
      <c r="C17" s="13" t="s">
        <v>397</v>
      </c>
      <c r="D17" s="13" t="s">
        <v>370</v>
      </c>
      <c r="E17" s="1" t="s">
        <v>15</v>
      </c>
      <c r="F17" s="8" t="s">
        <v>28</v>
      </c>
      <c r="G17" s="3" t="s">
        <v>30</v>
      </c>
      <c r="H17" s="54" t="s">
        <v>841</v>
      </c>
      <c r="I17" t="s">
        <v>366</v>
      </c>
      <c r="K17" s="31" t="s">
        <v>453</v>
      </c>
      <c r="P17" s="82" t="s">
        <v>1234</v>
      </c>
      <c r="R17" s="82"/>
      <c r="S17" t="s">
        <v>472</v>
      </c>
      <c r="T17" s="82">
        <v>16</v>
      </c>
    </row>
    <row r="18" spans="1:20" x14ac:dyDescent="0.25">
      <c r="A18" s="52">
        <f t="shared" si="0"/>
        <v>17</v>
      </c>
      <c r="B18" s="28" t="s">
        <v>134</v>
      </c>
      <c r="C18" s="13" t="s">
        <v>397</v>
      </c>
      <c r="D18" s="13" t="s">
        <v>370</v>
      </c>
      <c r="E18" s="1"/>
      <c r="F18" s="19" t="s">
        <v>29</v>
      </c>
      <c r="G18" s="2" t="s">
        <v>31</v>
      </c>
      <c r="H18" s="54" t="s">
        <v>132</v>
      </c>
      <c r="K18" s="31"/>
      <c r="P18" s="82" t="s">
        <v>1235</v>
      </c>
      <c r="R18" s="82"/>
      <c r="S18" t="s">
        <v>504</v>
      </c>
      <c r="T18" s="82">
        <v>17</v>
      </c>
    </row>
    <row r="19" spans="1:20" x14ac:dyDescent="0.25">
      <c r="A19" s="52">
        <f t="shared" si="0"/>
        <v>18</v>
      </c>
      <c r="B19" s="28" t="s">
        <v>134</v>
      </c>
      <c r="C19" s="13" t="s">
        <v>397</v>
      </c>
      <c r="D19" s="13" t="s">
        <v>371</v>
      </c>
      <c r="E19" s="1" t="s">
        <v>32</v>
      </c>
      <c r="F19" s="8" t="s">
        <v>16</v>
      </c>
      <c r="G19" s="3" t="s">
        <v>30</v>
      </c>
      <c r="H19" s="54" t="s">
        <v>130</v>
      </c>
      <c r="K19" s="31" t="s">
        <v>454</v>
      </c>
      <c r="P19" s="82" t="s">
        <v>1236</v>
      </c>
      <c r="R19" s="82"/>
      <c r="S19" t="s">
        <v>502</v>
      </c>
      <c r="T19" s="82">
        <v>18</v>
      </c>
    </row>
    <row r="20" spans="1:20" x14ac:dyDescent="0.25">
      <c r="A20" s="52">
        <f t="shared" si="0"/>
        <v>19</v>
      </c>
      <c r="B20" s="28" t="s">
        <v>134</v>
      </c>
      <c r="C20" s="13" t="s">
        <v>397</v>
      </c>
      <c r="D20" s="2" t="s">
        <v>371</v>
      </c>
      <c r="E20" s="2" t="s">
        <v>1</v>
      </c>
      <c r="F20" s="19" t="s">
        <v>17</v>
      </c>
      <c r="G20" s="4" t="s">
        <v>30</v>
      </c>
      <c r="H20" s="54" t="s">
        <v>108</v>
      </c>
      <c r="I20" t="s">
        <v>108</v>
      </c>
      <c r="K20" t="s">
        <v>455</v>
      </c>
      <c r="P20" s="82" t="s">
        <v>1237</v>
      </c>
      <c r="R20" s="82"/>
      <c r="S20" t="s">
        <v>465</v>
      </c>
      <c r="T20" s="82">
        <v>19</v>
      </c>
    </row>
    <row r="21" spans="1:20" x14ac:dyDescent="0.25">
      <c r="A21" s="52">
        <f t="shared" si="0"/>
        <v>20</v>
      </c>
      <c r="B21" s="28" t="s">
        <v>134</v>
      </c>
      <c r="C21" s="13" t="s">
        <v>397</v>
      </c>
      <c r="D21" s="1" t="s">
        <v>371</v>
      </c>
      <c r="E21" s="1" t="s">
        <v>33</v>
      </c>
      <c r="F21" s="8" t="s">
        <v>69</v>
      </c>
      <c r="G21" s="3" t="s">
        <v>30</v>
      </c>
      <c r="H21" s="54" t="s">
        <v>114</v>
      </c>
      <c r="I21" t="s">
        <v>114</v>
      </c>
      <c r="K21" s="31" t="s">
        <v>457</v>
      </c>
      <c r="P21" s="82" t="s">
        <v>1238</v>
      </c>
      <c r="R21" s="82"/>
      <c r="S21" t="s">
        <v>457</v>
      </c>
      <c r="T21" s="82">
        <v>20</v>
      </c>
    </row>
    <row r="22" spans="1:20" x14ac:dyDescent="0.25">
      <c r="A22" s="52">
        <f t="shared" si="0"/>
        <v>21</v>
      </c>
      <c r="B22" s="28" t="s">
        <v>134</v>
      </c>
      <c r="C22" s="13" t="s">
        <v>397</v>
      </c>
      <c r="D22" s="1" t="s">
        <v>371</v>
      </c>
      <c r="E22" s="1" t="s">
        <v>34</v>
      </c>
      <c r="F22" s="8" t="s">
        <v>152</v>
      </c>
      <c r="G22" s="3" t="s">
        <v>30</v>
      </c>
      <c r="H22" s="54" t="s">
        <v>128</v>
      </c>
      <c r="I22" t="s">
        <v>128</v>
      </c>
      <c r="K22" t="s">
        <v>463</v>
      </c>
      <c r="P22" s="82" t="s">
        <v>1239</v>
      </c>
      <c r="R22" s="82"/>
      <c r="S22" t="s">
        <v>461</v>
      </c>
      <c r="T22" s="82">
        <v>21</v>
      </c>
    </row>
    <row r="23" spans="1:20" x14ac:dyDescent="0.25">
      <c r="A23" s="52">
        <f t="shared" si="0"/>
        <v>22</v>
      </c>
      <c r="B23" s="28" t="s">
        <v>134</v>
      </c>
      <c r="C23" s="13" t="s">
        <v>397</v>
      </c>
      <c r="D23" s="1" t="s">
        <v>371</v>
      </c>
      <c r="E23" s="1" t="s">
        <v>35</v>
      </c>
      <c r="F23" s="8" t="s">
        <v>205</v>
      </c>
      <c r="G23" s="3" t="s">
        <v>30</v>
      </c>
      <c r="H23" s="54" t="s">
        <v>368</v>
      </c>
      <c r="I23" t="s">
        <v>367</v>
      </c>
      <c r="J23" t="s">
        <v>833</v>
      </c>
      <c r="K23" s="31" t="s">
        <v>459</v>
      </c>
      <c r="P23" s="82" t="s">
        <v>1240</v>
      </c>
      <c r="R23" s="82"/>
      <c r="S23" t="s">
        <v>1212</v>
      </c>
      <c r="T23" s="82">
        <v>22</v>
      </c>
    </row>
    <row r="24" spans="1:20" x14ac:dyDescent="0.25">
      <c r="A24" s="52">
        <f t="shared" si="0"/>
        <v>23</v>
      </c>
      <c r="B24" s="28" t="s">
        <v>134</v>
      </c>
      <c r="C24" s="13" t="s">
        <v>397</v>
      </c>
      <c r="D24" s="1" t="s">
        <v>371</v>
      </c>
      <c r="E24" s="1" t="s">
        <v>36</v>
      </c>
      <c r="F24" s="8" t="s">
        <v>52</v>
      </c>
      <c r="G24" s="3" t="s">
        <v>30</v>
      </c>
      <c r="H24" s="54" t="s">
        <v>115</v>
      </c>
      <c r="I24" t="s">
        <v>115</v>
      </c>
      <c r="K24" s="31" t="s">
        <v>461</v>
      </c>
      <c r="P24" s="82" t="s">
        <v>1241</v>
      </c>
      <c r="R24" s="82"/>
      <c r="S24" t="s">
        <v>448</v>
      </c>
      <c r="T24" s="82">
        <v>23</v>
      </c>
    </row>
    <row r="25" spans="1:20" x14ac:dyDescent="0.25">
      <c r="A25" s="52">
        <f t="shared" si="0"/>
        <v>24</v>
      </c>
      <c r="B25" s="28" t="s">
        <v>134</v>
      </c>
      <c r="C25" s="13" t="s">
        <v>397</v>
      </c>
      <c r="D25" s="1" t="s">
        <v>371</v>
      </c>
      <c r="E25" s="1" t="s">
        <v>37</v>
      </c>
      <c r="F25" s="8" t="s">
        <v>53</v>
      </c>
      <c r="G25" s="3" t="s">
        <v>30</v>
      </c>
      <c r="H25" s="52" t="s">
        <v>400</v>
      </c>
      <c r="I25" t="s">
        <v>400</v>
      </c>
      <c r="K25" s="31" t="s">
        <v>465</v>
      </c>
      <c r="P25" s="82" t="s">
        <v>1242</v>
      </c>
      <c r="R25" s="82"/>
      <c r="S25" t="s">
        <v>446</v>
      </c>
      <c r="T25" s="82">
        <v>24</v>
      </c>
    </row>
    <row r="26" spans="1:20" x14ac:dyDescent="0.25">
      <c r="A26" s="52">
        <f t="shared" si="0"/>
        <v>25</v>
      </c>
      <c r="B26" s="28" t="s">
        <v>134</v>
      </c>
      <c r="C26" s="13" t="s">
        <v>397</v>
      </c>
      <c r="D26" s="1" t="s">
        <v>371</v>
      </c>
      <c r="E26" s="1" t="s">
        <v>38</v>
      </c>
      <c r="F26" s="8" t="s">
        <v>54</v>
      </c>
      <c r="G26" s="3" t="s">
        <v>30</v>
      </c>
      <c r="H26" s="54" t="s">
        <v>116</v>
      </c>
      <c r="I26" t="s">
        <v>116</v>
      </c>
      <c r="K26" s="31" t="s">
        <v>474</v>
      </c>
      <c r="P26" s="82" t="s">
        <v>1243</v>
      </c>
      <c r="R26" s="82"/>
      <c r="S26" t="s">
        <v>430</v>
      </c>
      <c r="T26" s="82">
        <v>25</v>
      </c>
    </row>
    <row r="27" spans="1:20" x14ac:dyDescent="0.25">
      <c r="A27" s="52">
        <f t="shared" si="0"/>
        <v>26</v>
      </c>
      <c r="B27" s="28" t="s">
        <v>134</v>
      </c>
      <c r="C27" s="13" t="s">
        <v>397</v>
      </c>
      <c r="D27" s="1" t="s">
        <v>371</v>
      </c>
      <c r="E27" s="1" t="s">
        <v>39</v>
      </c>
      <c r="F27" s="8" t="s">
        <v>55</v>
      </c>
      <c r="G27" s="3" t="s">
        <v>68</v>
      </c>
      <c r="H27" s="54" t="s">
        <v>117</v>
      </c>
      <c r="I27" t="s">
        <v>117</v>
      </c>
      <c r="K27" s="31" t="s">
        <v>878</v>
      </c>
      <c r="P27" s="82" t="s">
        <v>1244</v>
      </c>
      <c r="R27" s="82"/>
      <c r="S27" t="s">
        <v>481</v>
      </c>
      <c r="T27" s="82">
        <v>26</v>
      </c>
    </row>
    <row r="28" spans="1:20" x14ac:dyDescent="0.25">
      <c r="A28" s="52">
        <f t="shared" si="0"/>
        <v>27</v>
      </c>
      <c r="B28" s="28" t="s">
        <v>134</v>
      </c>
      <c r="C28" s="13" t="s">
        <v>397</v>
      </c>
      <c r="D28" s="1" t="s">
        <v>371</v>
      </c>
      <c r="E28" s="1" t="s">
        <v>40</v>
      </c>
      <c r="F28" s="8" t="s">
        <v>56</v>
      </c>
      <c r="G28" s="3" t="s">
        <v>30</v>
      </c>
      <c r="H28" s="54" t="s">
        <v>842</v>
      </c>
      <c r="I28" t="s">
        <v>118</v>
      </c>
      <c r="K28" s="31" t="s">
        <v>476</v>
      </c>
      <c r="P28" s="82" t="s">
        <v>1245</v>
      </c>
      <c r="R28" s="82"/>
      <c r="S28" t="s">
        <v>435</v>
      </c>
      <c r="T28" s="82">
        <v>27</v>
      </c>
    </row>
    <row r="29" spans="1:20" x14ac:dyDescent="0.25">
      <c r="A29" s="52">
        <f t="shared" si="0"/>
        <v>28</v>
      </c>
      <c r="B29" s="28" t="s">
        <v>134</v>
      </c>
      <c r="C29" s="13" t="s">
        <v>397</v>
      </c>
      <c r="D29" s="5" t="s">
        <v>371</v>
      </c>
      <c r="E29" s="5" t="s">
        <v>41</v>
      </c>
      <c r="F29" s="20" t="s">
        <v>57</v>
      </c>
      <c r="G29" s="7" t="s">
        <v>30</v>
      </c>
      <c r="H29" s="54" t="s">
        <v>898</v>
      </c>
      <c r="K29" s="31" t="s">
        <v>472</v>
      </c>
      <c r="P29" s="82" t="s">
        <v>1246</v>
      </c>
      <c r="R29" s="82"/>
      <c r="S29" t="s">
        <v>425</v>
      </c>
      <c r="T29" s="82">
        <v>28</v>
      </c>
    </row>
    <row r="30" spans="1:20" x14ac:dyDescent="0.25">
      <c r="A30" s="52">
        <f t="shared" si="0"/>
        <v>29</v>
      </c>
      <c r="B30" s="28" t="s">
        <v>134</v>
      </c>
      <c r="C30" s="13" t="s">
        <v>397</v>
      </c>
      <c r="D30" s="1" t="s">
        <v>371</v>
      </c>
      <c r="E30" s="1" t="s">
        <v>42</v>
      </c>
      <c r="F30" s="8" t="s">
        <v>58</v>
      </c>
      <c r="G30" s="3" t="s">
        <v>30</v>
      </c>
      <c r="H30" s="54" t="s">
        <v>119</v>
      </c>
      <c r="I30" t="s">
        <v>119</v>
      </c>
      <c r="K30" s="31" t="s">
        <v>880</v>
      </c>
      <c r="P30" s="82" t="s">
        <v>1247</v>
      </c>
      <c r="R30" s="82"/>
      <c r="S30" t="s">
        <v>868</v>
      </c>
      <c r="T30" s="82">
        <v>29</v>
      </c>
    </row>
    <row r="31" spans="1:20" x14ac:dyDescent="0.25">
      <c r="A31" s="52">
        <f t="shared" si="0"/>
        <v>30</v>
      </c>
      <c r="B31" s="28" t="s">
        <v>134</v>
      </c>
      <c r="C31" s="13" t="s">
        <v>397</v>
      </c>
      <c r="D31" s="1" t="s">
        <v>371</v>
      </c>
      <c r="E31" s="1" t="s">
        <v>43</v>
      </c>
      <c r="F31" s="8" t="s">
        <v>59</v>
      </c>
      <c r="G31" s="3" t="s">
        <v>30</v>
      </c>
      <c r="H31" s="54" t="s">
        <v>120</v>
      </c>
      <c r="I31" t="s">
        <v>120</v>
      </c>
      <c r="K31" s="31" t="s">
        <v>481</v>
      </c>
      <c r="P31" s="82" t="s">
        <v>1248</v>
      </c>
      <c r="R31" s="82"/>
      <c r="S31" t="s">
        <v>485</v>
      </c>
      <c r="T31" s="82">
        <v>30</v>
      </c>
    </row>
    <row r="32" spans="1:20" x14ac:dyDescent="0.25">
      <c r="A32" s="52">
        <f t="shared" si="0"/>
        <v>31</v>
      </c>
      <c r="B32" s="28" t="s">
        <v>134</v>
      </c>
      <c r="C32" s="13" t="s">
        <v>397</v>
      </c>
      <c r="D32" s="1" t="s">
        <v>371</v>
      </c>
      <c r="E32" s="1" t="s">
        <v>44</v>
      </c>
      <c r="F32" s="8" t="s">
        <v>60</v>
      </c>
      <c r="G32" s="3" t="s">
        <v>30</v>
      </c>
      <c r="H32" s="54" t="s">
        <v>404</v>
      </c>
      <c r="I32" t="s">
        <v>121</v>
      </c>
      <c r="K32" s="42" t="s">
        <v>468</v>
      </c>
      <c r="P32" s="82" t="s">
        <v>1249</v>
      </c>
      <c r="R32" s="82"/>
      <c r="S32" t="s">
        <v>550</v>
      </c>
      <c r="T32" s="82">
        <v>31</v>
      </c>
    </row>
    <row r="33" spans="1:20" x14ac:dyDescent="0.25">
      <c r="A33" s="52">
        <f t="shared" si="0"/>
        <v>32</v>
      </c>
      <c r="B33" s="28" t="s">
        <v>134</v>
      </c>
      <c r="C33" s="13" t="s">
        <v>397</v>
      </c>
      <c r="D33" s="1" t="s">
        <v>371</v>
      </c>
      <c r="E33" s="1" t="s">
        <v>45</v>
      </c>
      <c r="F33" s="8" t="s">
        <v>61</v>
      </c>
      <c r="G33" s="3" t="s">
        <v>30</v>
      </c>
      <c r="H33" s="54" t="s">
        <v>129</v>
      </c>
      <c r="I33" t="s">
        <v>129</v>
      </c>
      <c r="K33" t="s">
        <v>491</v>
      </c>
      <c r="P33" s="82" t="s">
        <v>1250</v>
      </c>
      <c r="R33" s="82"/>
      <c r="S33" t="s">
        <v>517</v>
      </c>
      <c r="T33" s="82">
        <v>32</v>
      </c>
    </row>
    <row r="34" spans="1:20" x14ac:dyDescent="0.25">
      <c r="A34" s="52">
        <f t="shared" si="0"/>
        <v>33</v>
      </c>
      <c r="B34" s="28" t="s">
        <v>134</v>
      </c>
      <c r="C34" s="13" t="s">
        <v>397</v>
      </c>
      <c r="D34" s="1" t="s">
        <v>371</v>
      </c>
      <c r="E34" s="1" t="s">
        <v>46</v>
      </c>
      <c r="F34" s="8" t="s">
        <v>62</v>
      </c>
      <c r="G34" s="3" t="s">
        <v>30</v>
      </c>
      <c r="H34" s="54" t="s">
        <v>122</v>
      </c>
      <c r="I34" t="s">
        <v>122</v>
      </c>
      <c r="K34" s="31" t="s">
        <v>492</v>
      </c>
      <c r="P34" s="82" t="s">
        <v>1251</v>
      </c>
      <c r="R34" s="82"/>
      <c r="S34" t="s">
        <v>547</v>
      </c>
      <c r="T34" s="82">
        <v>33</v>
      </c>
    </row>
    <row r="35" spans="1:20" x14ac:dyDescent="0.25">
      <c r="A35" s="52">
        <f t="shared" si="0"/>
        <v>34</v>
      </c>
      <c r="B35" s="28" t="s">
        <v>134</v>
      </c>
      <c r="C35" s="13" t="s">
        <v>397</v>
      </c>
      <c r="D35" s="1" t="s">
        <v>371</v>
      </c>
      <c r="E35" s="1" t="s">
        <v>47</v>
      </c>
      <c r="F35" s="8" t="s">
        <v>63</v>
      </c>
      <c r="G35" s="3" t="s">
        <v>30</v>
      </c>
      <c r="H35" s="54" t="s">
        <v>1134</v>
      </c>
      <c r="I35" t="s">
        <v>881</v>
      </c>
      <c r="K35" s="31" t="s">
        <v>499</v>
      </c>
      <c r="P35" s="82" t="s">
        <v>1252</v>
      </c>
      <c r="R35" s="82"/>
      <c r="S35" t="s">
        <v>520</v>
      </c>
      <c r="T35" s="82">
        <v>34</v>
      </c>
    </row>
    <row r="36" spans="1:20" x14ac:dyDescent="0.25">
      <c r="A36" s="52">
        <f t="shared" si="0"/>
        <v>35</v>
      </c>
      <c r="B36" s="28" t="s">
        <v>134</v>
      </c>
      <c r="C36" s="13" t="s">
        <v>397</v>
      </c>
      <c r="D36" s="6" t="s">
        <v>371</v>
      </c>
      <c r="E36" s="6" t="s">
        <v>48</v>
      </c>
      <c r="F36" s="21" t="s">
        <v>64</v>
      </c>
      <c r="G36" s="9" t="s">
        <v>30</v>
      </c>
      <c r="H36" s="54" t="s">
        <v>123</v>
      </c>
      <c r="I36" t="s">
        <v>123</v>
      </c>
      <c r="K36" s="31" t="s">
        <v>502</v>
      </c>
      <c r="P36" s="82" t="s">
        <v>1253</v>
      </c>
      <c r="R36" s="82"/>
      <c r="S36" t="s">
        <v>1125</v>
      </c>
      <c r="T36" s="82">
        <v>35</v>
      </c>
    </row>
    <row r="37" spans="1:20" x14ac:dyDescent="0.25">
      <c r="A37" s="52">
        <f t="shared" si="0"/>
        <v>36</v>
      </c>
      <c r="B37" s="28" t="s">
        <v>134</v>
      </c>
      <c r="C37" s="13" t="s">
        <v>397</v>
      </c>
      <c r="D37" s="1" t="s">
        <v>371</v>
      </c>
      <c r="E37" s="1" t="s">
        <v>49</v>
      </c>
      <c r="F37" s="8" t="s">
        <v>65</v>
      </c>
      <c r="G37" s="3" t="s">
        <v>30</v>
      </c>
      <c r="H37" s="54" t="s">
        <v>132</v>
      </c>
      <c r="I37" t="s">
        <v>132</v>
      </c>
      <c r="K37" s="31" t="s">
        <v>504</v>
      </c>
      <c r="P37" s="82" t="s">
        <v>1254</v>
      </c>
      <c r="R37" s="82"/>
      <c r="S37" t="s">
        <v>476</v>
      </c>
      <c r="T37" s="82">
        <v>36</v>
      </c>
    </row>
    <row r="38" spans="1:20" x14ac:dyDescent="0.25">
      <c r="A38" s="52">
        <f t="shared" si="0"/>
        <v>37</v>
      </c>
      <c r="B38" s="28" t="s">
        <v>134</v>
      </c>
      <c r="C38" s="13" t="s">
        <v>397</v>
      </c>
      <c r="D38" s="1" t="s">
        <v>371</v>
      </c>
      <c r="E38" s="1" t="s">
        <v>50</v>
      </c>
      <c r="F38" s="8" t="s">
        <v>66</v>
      </c>
      <c r="G38" s="3" t="s">
        <v>30</v>
      </c>
      <c r="H38" s="54" t="s">
        <v>883</v>
      </c>
      <c r="I38" t="s">
        <v>883</v>
      </c>
      <c r="K38" s="31" t="s">
        <v>868</v>
      </c>
      <c r="P38" s="82" t="s">
        <v>1255</v>
      </c>
      <c r="R38" s="82"/>
      <c r="S38" t="s">
        <v>522</v>
      </c>
      <c r="T38" s="82">
        <v>37</v>
      </c>
    </row>
    <row r="39" spans="1:20" x14ac:dyDescent="0.25">
      <c r="A39" s="52">
        <f t="shared" si="0"/>
        <v>38</v>
      </c>
      <c r="B39" s="28" t="s">
        <v>134</v>
      </c>
      <c r="C39" s="13" t="s">
        <v>397</v>
      </c>
      <c r="D39" s="1" t="s">
        <v>371</v>
      </c>
      <c r="E39" s="1" t="s">
        <v>51</v>
      </c>
      <c r="F39" s="8" t="s">
        <v>67</v>
      </c>
      <c r="G39" s="3" t="s">
        <v>30</v>
      </c>
      <c r="H39" s="54" t="s">
        <v>125</v>
      </c>
      <c r="I39" t="s">
        <v>125</v>
      </c>
      <c r="K39" s="31" t="s">
        <v>507</v>
      </c>
      <c r="P39" s="82" t="s">
        <v>1256</v>
      </c>
      <c r="R39" s="82"/>
      <c r="S39" t="s">
        <v>479</v>
      </c>
      <c r="T39" s="82">
        <v>38</v>
      </c>
    </row>
    <row r="40" spans="1:20" x14ac:dyDescent="0.25">
      <c r="A40" s="52">
        <f t="shared" si="0"/>
        <v>39</v>
      </c>
      <c r="B40" s="28" t="s">
        <v>134</v>
      </c>
      <c r="C40" s="13" t="s">
        <v>397</v>
      </c>
      <c r="D40" s="1" t="s">
        <v>371</v>
      </c>
      <c r="E40" s="1"/>
      <c r="F40" s="19" t="s">
        <v>29</v>
      </c>
      <c r="G40" s="2" t="s">
        <v>31</v>
      </c>
      <c r="H40" s="54" t="s">
        <v>132</v>
      </c>
      <c r="K40" s="31"/>
      <c r="P40" s="82" t="s">
        <v>1257</v>
      </c>
      <c r="R40" s="82"/>
      <c r="S40" t="s">
        <v>501</v>
      </c>
      <c r="T40" s="82">
        <v>39</v>
      </c>
    </row>
    <row r="41" spans="1:20" x14ac:dyDescent="0.25">
      <c r="A41" s="52">
        <f t="shared" si="0"/>
        <v>40</v>
      </c>
      <c r="B41" s="28" t="s">
        <v>134</v>
      </c>
      <c r="C41" s="13" t="s">
        <v>397</v>
      </c>
      <c r="D41" s="1" t="s">
        <v>372</v>
      </c>
      <c r="E41" s="1" t="s">
        <v>0</v>
      </c>
      <c r="F41" s="8" t="s">
        <v>16</v>
      </c>
      <c r="G41" s="3" t="s">
        <v>30</v>
      </c>
      <c r="H41" s="54" t="s">
        <v>130</v>
      </c>
      <c r="K41" s="31" t="s">
        <v>517</v>
      </c>
      <c r="P41" s="82" t="s">
        <v>1258</v>
      </c>
      <c r="R41" s="82"/>
      <c r="S41" t="s">
        <v>452</v>
      </c>
      <c r="T41" s="82">
        <v>40</v>
      </c>
    </row>
    <row r="42" spans="1:20" x14ac:dyDescent="0.25">
      <c r="A42" s="52">
        <f t="shared" si="0"/>
        <v>41</v>
      </c>
      <c r="B42" s="28" t="s">
        <v>134</v>
      </c>
      <c r="C42" s="13" t="s">
        <v>397</v>
      </c>
      <c r="D42" s="1" t="s">
        <v>372</v>
      </c>
      <c r="E42" s="1" t="s">
        <v>1</v>
      </c>
      <c r="F42" s="8" t="s">
        <v>17</v>
      </c>
      <c r="G42" s="3" t="s">
        <v>30</v>
      </c>
      <c r="H42" s="54" t="s">
        <v>108</v>
      </c>
      <c r="I42" t="s">
        <v>108</v>
      </c>
      <c r="K42" s="31" t="s">
        <v>520</v>
      </c>
      <c r="P42" s="82" t="s">
        <v>1259</v>
      </c>
      <c r="R42" s="82"/>
      <c r="S42" t="s">
        <v>497</v>
      </c>
      <c r="T42" s="82">
        <v>41</v>
      </c>
    </row>
    <row r="43" spans="1:20" x14ac:dyDescent="0.25">
      <c r="A43" s="52">
        <f t="shared" si="0"/>
        <v>42</v>
      </c>
      <c r="B43" s="28" t="s">
        <v>134</v>
      </c>
      <c r="C43" s="13" t="s">
        <v>397</v>
      </c>
      <c r="D43" s="1" t="s">
        <v>372</v>
      </c>
      <c r="E43" s="1" t="s">
        <v>33</v>
      </c>
      <c r="F43" s="8" t="s">
        <v>69</v>
      </c>
      <c r="G43" s="3" t="s">
        <v>30</v>
      </c>
      <c r="H43" s="54" t="s">
        <v>114</v>
      </c>
      <c r="I43" t="s">
        <v>114</v>
      </c>
      <c r="K43" s="31" t="s">
        <v>550</v>
      </c>
      <c r="P43" s="82" t="s">
        <v>1260</v>
      </c>
      <c r="R43" s="82"/>
      <c r="S43" t="s">
        <v>424</v>
      </c>
      <c r="T43" s="82">
        <v>42</v>
      </c>
    </row>
    <row r="44" spans="1:20" x14ac:dyDescent="0.25">
      <c r="A44" s="52">
        <f t="shared" si="0"/>
        <v>43</v>
      </c>
      <c r="B44" s="28" t="s">
        <v>134</v>
      </c>
      <c r="C44" s="13" t="s">
        <v>397</v>
      </c>
      <c r="D44" s="1" t="s">
        <v>372</v>
      </c>
      <c r="E44" s="1" t="s">
        <v>70</v>
      </c>
      <c r="F44" s="8" t="s">
        <v>71</v>
      </c>
      <c r="G44" s="3" t="s">
        <v>30</v>
      </c>
      <c r="H44" s="54" t="s">
        <v>131</v>
      </c>
      <c r="I44" t="s">
        <v>131</v>
      </c>
      <c r="K44" t="s">
        <v>547</v>
      </c>
      <c r="P44" s="82" t="s">
        <v>1261</v>
      </c>
      <c r="R44" s="82"/>
      <c r="S44" t="s">
        <v>467</v>
      </c>
      <c r="T44" s="82">
        <v>43</v>
      </c>
    </row>
    <row r="45" spans="1:20" x14ac:dyDescent="0.25">
      <c r="A45" s="52">
        <f t="shared" si="0"/>
        <v>44</v>
      </c>
      <c r="B45" s="28" t="s">
        <v>134</v>
      </c>
      <c r="C45" s="13" t="s">
        <v>397</v>
      </c>
      <c r="D45" s="1" t="s">
        <v>372</v>
      </c>
      <c r="E45" s="1" t="s">
        <v>72</v>
      </c>
      <c r="F45" s="8" t="s">
        <v>73</v>
      </c>
      <c r="G45" s="3" t="s">
        <v>30</v>
      </c>
      <c r="H45" s="54" t="s">
        <v>126</v>
      </c>
      <c r="I45" t="s">
        <v>126</v>
      </c>
      <c r="K45" t="s">
        <v>564</v>
      </c>
      <c r="P45" s="82" t="s">
        <v>1262</v>
      </c>
      <c r="R45" s="82"/>
      <c r="S45" t="s">
        <v>1136</v>
      </c>
      <c r="T45" s="82">
        <v>44</v>
      </c>
    </row>
    <row r="46" spans="1:20" x14ac:dyDescent="0.25">
      <c r="A46" s="52">
        <f t="shared" si="0"/>
        <v>45</v>
      </c>
      <c r="B46" s="28" t="s">
        <v>134</v>
      </c>
      <c r="C46" s="13" t="s">
        <v>397</v>
      </c>
      <c r="D46" s="1" t="s">
        <v>372</v>
      </c>
      <c r="E46" s="1" t="s">
        <v>74</v>
      </c>
      <c r="F46" s="8" t="s">
        <v>79</v>
      </c>
      <c r="G46" s="3" t="s">
        <v>30</v>
      </c>
      <c r="H46" s="54" t="s">
        <v>913</v>
      </c>
      <c r="I46" t="s">
        <v>126</v>
      </c>
      <c r="K46" t="s">
        <v>566</v>
      </c>
      <c r="P46" s="82" t="s">
        <v>1263</v>
      </c>
      <c r="R46" s="82"/>
      <c r="S46" t="s">
        <v>847</v>
      </c>
      <c r="T46" s="82">
        <v>45</v>
      </c>
    </row>
    <row r="47" spans="1:20" x14ac:dyDescent="0.25">
      <c r="A47" s="52">
        <f t="shared" si="0"/>
        <v>46</v>
      </c>
      <c r="B47" s="28" t="s">
        <v>134</v>
      </c>
      <c r="C47" s="13" t="s">
        <v>397</v>
      </c>
      <c r="D47" s="1" t="s">
        <v>372</v>
      </c>
      <c r="E47" s="1" t="s">
        <v>75</v>
      </c>
      <c r="F47" s="8" t="s">
        <v>80</v>
      </c>
      <c r="G47" s="3" t="s">
        <v>30</v>
      </c>
      <c r="H47" s="54" t="s">
        <v>843</v>
      </c>
      <c r="I47" t="s">
        <v>369</v>
      </c>
      <c r="P47" s="82" t="s">
        <v>1264</v>
      </c>
      <c r="R47" s="82"/>
      <c r="S47" t="s">
        <v>488</v>
      </c>
      <c r="T47" s="82">
        <v>46</v>
      </c>
    </row>
    <row r="48" spans="1:20" s="30" customFormat="1" ht="14.45" customHeight="1" x14ac:dyDescent="0.25">
      <c r="A48" s="52">
        <f t="shared" si="0"/>
        <v>47</v>
      </c>
      <c r="B48" s="28" t="s">
        <v>134</v>
      </c>
      <c r="C48" s="13" t="s">
        <v>397</v>
      </c>
      <c r="D48" s="1" t="s">
        <v>372</v>
      </c>
      <c r="E48" s="10" t="s">
        <v>76</v>
      </c>
      <c r="F48" s="22" t="s">
        <v>81</v>
      </c>
      <c r="G48" s="11" t="s">
        <v>30</v>
      </c>
      <c r="H48" s="83" t="s">
        <v>1126</v>
      </c>
      <c r="P48" s="84" t="s">
        <v>1265</v>
      </c>
      <c r="R48" s="84"/>
      <c r="S48" s="30" t="s">
        <v>433</v>
      </c>
      <c r="T48" s="84">
        <v>47</v>
      </c>
    </row>
    <row r="49" spans="1:20" x14ac:dyDescent="0.25">
      <c r="A49" s="52">
        <f t="shared" si="0"/>
        <v>48</v>
      </c>
      <c r="B49" s="28" t="s">
        <v>134</v>
      </c>
      <c r="C49" s="13" t="s">
        <v>397</v>
      </c>
      <c r="D49" s="1" t="s">
        <v>372</v>
      </c>
      <c r="E49" s="1" t="s">
        <v>77</v>
      </c>
      <c r="F49" s="8" t="s">
        <v>82</v>
      </c>
      <c r="G49" s="3" t="s">
        <v>30</v>
      </c>
      <c r="H49" s="52" t="s">
        <v>393</v>
      </c>
      <c r="I49" t="s">
        <v>393</v>
      </c>
      <c r="P49" s="82" t="s">
        <v>1266</v>
      </c>
      <c r="R49" s="82"/>
      <c r="S49" t="s">
        <v>459</v>
      </c>
      <c r="T49" s="82">
        <v>48</v>
      </c>
    </row>
    <row r="50" spans="1:20" x14ac:dyDescent="0.25">
      <c r="A50" s="52">
        <f t="shared" si="0"/>
        <v>49</v>
      </c>
      <c r="B50" s="28" t="s">
        <v>134</v>
      </c>
      <c r="C50" s="13" t="s">
        <v>397</v>
      </c>
      <c r="D50" s="1" t="s">
        <v>372</v>
      </c>
      <c r="E50" s="1" t="s">
        <v>78</v>
      </c>
      <c r="F50" s="8" t="s">
        <v>83</v>
      </c>
      <c r="G50" s="3" t="s">
        <v>30</v>
      </c>
      <c r="H50" s="54" t="s">
        <v>395</v>
      </c>
      <c r="I50" t="s">
        <v>394</v>
      </c>
      <c r="P50" s="82" t="s">
        <v>1267</v>
      </c>
      <c r="R50" s="82"/>
      <c r="S50" t="s">
        <v>450</v>
      </c>
      <c r="T50" s="82">
        <v>49</v>
      </c>
    </row>
    <row r="51" spans="1:20" x14ac:dyDescent="0.25">
      <c r="A51" s="52">
        <f t="shared" si="0"/>
        <v>50</v>
      </c>
      <c r="B51" s="28" t="s">
        <v>134</v>
      </c>
      <c r="C51" s="13" t="s">
        <v>397</v>
      </c>
      <c r="D51" s="1" t="s">
        <v>1112</v>
      </c>
      <c r="E51" s="13" t="s">
        <v>32</v>
      </c>
      <c r="F51" s="18" t="s">
        <v>191</v>
      </c>
      <c r="G51" s="3" t="s">
        <v>30</v>
      </c>
      <c r="H51" s="54" t="s">
        <v>130</v>
      </c>
      <c r="P51" s="82" t="s">
        <v>1268</v>
      </c>
      <c r="R51" s="82"/>
      <c r="S51" t="s">
        <v>865</v>
      </c>
      <c r="T51" s="82">
        <v>50</v>
      </c>
    </row>
    <row r="52" spans="1:20" x14ac:dyDescent="0.25">
      <c r="A52" s="52">
        <f t="shared" si="0"/>
        <v>51</v>
      </c>
      <c r="B52" s="28" t="s">
        <v>134</v>
      </c>
      <c r="C52" s="13" t="s">
        <v>397</v>
      </c>
      <c r="D52" s="1" t="s">
        <v>1112</v>
      </c>
      <c r="E52" s="13" t="s">
        <v>33</v>
      </c>
      <c r="F52" s="18" t="s">
        <v>69</v>
      </c>
      <c r="G52" s="3" t="s">
        <v>30</v>
      </c>
      <c r="H52" s="54" t="s">
        <v>114</v>
      </c>
      <c r="P52" s="82" t="s">
        <v>1269</v>
      </c>
      <c r="R52" s="82"/>
      <c r="S52" t="s">
        <v>1139</v>
      </c>
      <c r="T52" s="82">
        <v>51</v>
      </c>
    </row>
    <row r="53" spans="1:20" x14ac:dyDescent="0.25">
      <c r="A53" s="52">
        <f t="shared" si="0"/>
        <v>52</v>
      </c>
      <c r="B53" s="28" t="s">
        <v>134</v>
      </c>
      <c r="C53" s="13" t="s">
        <v>397</v>
      </c>
      <c r="D53" s="1" t="s">
        <v>1112</v>
      </c>
      <c r="E53" s="13" t="s">
        <v>197</v>
      </c>
      <c r="F53" s="18" t="s">
        <v>182</v>
      </c>
      <c r="G53" s="3" t="s">
        <v>30</v>
      </c>
      <c r="H53" t="s">
        <v>1123</v>
      </c>
      <c r="P53" s="82" t="s">
        <v>1270</v>
      </c>
      <c r="R53" s="82"/>
      <c r="S53" t="s">
        <v>866</v>
      </c>
      <c r="T53" s="82">
        <v>52</v>
      </c>
    </row>
    <row r="54" spans="1:20" x14ac:dyDescent="0.25">
      <c r="A54" s="52">
        <f t="shared" si="0"/>
        <v>53</v>
      </c>
      <c r="B54" s="28" t="s">
        <v>134</v>
      </c>
      <c r="C54" s="13" t="s">
        <v>397</v>
      </c>
      <c r="D54" s="1" t="s">
        <v>373</v>
      </c>
      <c r="E54" s="1" t="s">
        <v>32</v>
      </c>
      <c r="F54" s="8" t="s">
        <v>16</v>
      </c>
      <c r="G54" s="3" t="s">
        <v>30</v>
      </c>
      <c r="H54" s="54" t="s">
        <v>130</v>
      </c>
      <c r="P54" s="82" t="s">
        <v>1271</v>
      </c>
      <c r="R54" s="82"/>
      <c r="S54" t="s">
        <v>505</v>
      </c>
      <c r="T54" s="82">
        <v>53</v>
      </c>
    </row>
    <row r="55" spans="1:20" x14ac:dyDescent="0.25">
      <c r="A55" s="52">
        <f t="shared" si="0"/>
        <v>54</v>
      </c>
      <c r="B55" s="28" t="s">
        <v>134</v>
      </c>
      <c r="C55" s="13" t="s">
        <v>397</v>
      </c>
      <c r="D55" s="1" t="s">
        <v>373</v>
      </c>
      <c r="E55" s="1" t="s">
        <v>33</v>
      </c>
      <c r="F55" s="8" t="s">
        <v>69</v>
      </c>
      <c r="G55" s="3" t="s">
        <v>30</v>
      </c>
      <c r="H55" s="54" t="s">
        <v>114</v>
      </c>
      <c r="P55" s="82" t="s">
        <v>1272</v>
      </c>
      <c r="R55" s="82"/>
      <c r="S55" t="s">
        <v>867</v>
      </c>
      <c r="T55" s="82">
        <v>54</v>
      </c>
    </row>
    <row r="56" spans="1:20" x14ac:dyDescent="0.25">
      <c r="A56" s="52">
        <f t="shared" si="0"/>
        <v>55</v>
      </c>
      <c r="B56" s="28" t="s">
        <v>134</v>
      </c>
      <c r="C56" s="13" t="s">
        <v>397</v>
      </c>
      <c r="D56" s="1" t="s">
        <v>373</v>
      </c>
      <c r="E56" s="1" t="s">
        <v>85</v>
      </c>
      <c r="F56" s="8" t="s">
        <v>88</v>
      </c>
      <c r="G56" s="3" t="s">
        <v>30</v>
      </c>
      <c r="P56" s="82" t="s">
        <v>1273</v>
      </c>
      <c r="R56" s="82"/>
      <c r="S56" t="s">
        <v>979</v>
      </c>
      <c r="T56" s="82">
        <v>55</v>
      </c>
    </row>
    <row r="57" spans="1:20" x14ac:dyDescent="0.25">
      <c r="A57" s="52">
        <f t="shared" si="0"/>
        <v>56</v>
      </c>
      <c r="B57" s="28" t="s">
        <v>134</v>
      </c>
      <c r="C57" s="13" t="s">
        <v>397</v>
      </c>
      <c r="D57" s="1" t="s">
        <v>373</v>
      </c>
      <c r="E57" s="1" t="s">
        <v>86</v>
      </c>
      <c r="F57" s="8" t="s">
        <v>89</v>
      </c>
      <c r="G57" s="3" t="s">
        <v>30</v>
      </c>
      <c r="P57" s="82" t="s">
        <v>1274</v>
      </c>
      <c r="R57" s="82"/>
      <c r="S57" t="s">
        <v>487</v>
      </c>
      <c r="T57" s="82">
        <v>56</v>
      </c>
    </row>
    <row r="58" spans="1:20" x14ac:dyDescent="0.25">
      <c r="A58" s="52">
        <f t="shared" si="0"/>
        <v>57</v>
      </c>
      <c r="B58" s="28" t="s">
        <v>134</v>
      </c>
      <c r="C58" s="13" t="s">
        <v>397</v>
      </c>
      <c r="D58" s="1" t="s">
        <v>373</v>
      </c>
      <c r="E58" s="1" t="s">
        <v>87</v>
      </c>
      <c r="F58" s="8" t="s">
        <v>90</v>
      </c>
      <c r="G58" s="3" t="s">
        <v>30</v>
      </c>
      <c r="P58" s="82" t="s">
        <v>1275</v>
      </c>
      <c r="R58" s="82"/>
      <c r="S58" t="s">
        <v>496</v>
      </c>
      <c r="T58" s="82">
        <v>57</v>
      </c>
    </row>
    <row r="59" spans="1:20" x14ac:dyDescent="0.25">
      <c r="A59" s="52">
        <f t="shared" si="0"/>
        <v>58</v>
      </c>
      <c r="B59" s="28" t="s">
        <v>134</v>
      </c>
      <c r="C59" s="13" t="s">
        <v>397</v>
      </c>
      <c r="D59" s="1" t="s">
        <v>1045</v>
      </c>
      <c r="E59" s="2" t="s">
        <v>32</v>
      </c>
      <c r="F59" s="8" t="s">
        <v>16</v>
      </c>
      <c r="G59" s="3" t="s">
        <v>30</v>
      </c>
      <c r="H59" s="54" t="s">
        <v>130</v>
      </c>
      <c r="P59" s="82" t="s">
        <v>1276</v>
      </c>
      <c r="R59" s="82"/>
      <c r="S59" t="s">
        <v>494</v>
      </c>
      <c r="T59" s="82">
        <v>58</v>
      </c>
    </row>
    <row r="60" spans="1:20" x14ac:dyDescent="0.25">
      <c r="A60" s="52">
        <f t="shared" si="0"/>
        <v>59</v>
      </c>
      <c r="B60" s="28" t="s">
        <v>134</v>
      </c>
      <c r="C60" s="13" t="s">
        <v>397</v>
      </c>
      <c r="D60" s="1" t="s">
        <v>1045</v>
      </c>
      <c r="E60" s="1" t="s">
        <v>1</v>
      </c>
      <c r="F60" s="8" t="s">
        <v>17</v>
      </c>
      <c r="G60" s="3" t="s">
        <v>30</v>
      </c>
      <c r="H60" s="54" t="s">
        <v>108</v>
      </c>
      <c r="P60" s="82"/>
      <c r="R60" s="82"/>
      <c r="T60" s="82"/>
    </row>
    <row r="61" spans="1:20" x14ac:dyDescent="0.25">
      <c r="A61" s="52">
        <f t="shared" si="0"/>
        <v>60</v>
      </c>
      <c r="B61" s="28" t="s">
        <v>134</v>
      </c>
      <c r="C61" s="13" t="s">
        <v>397</v>
      </c>
      <c r="D61" s="1" t="s">
        <v>1045</v>
      </c>
      <c r="E61" s="2" t="s">
        <v>33</v>
      </c>
      <c r="F61" s="18" t="s">
        <v>69</v>
      </c>
      <c r="G61" s="3" t="s">
        <v>30</v>
      </c>
      <c r="H61" s="54" t="s">
        <v>114</v>
      </c>
      <c r="P61" s="82" t="s">
        <v>1277</v>
      </c>
      <c r="R61" s="82"/>
      <c r="S61" t="s">
        <v>869</v>
      </c>
      <c r="T61" s="82">
        <v>59</v>
      </c>
    </row>
    <row r="62" spans="1:20" x14ac:dyDescent="0.25">
      <c r="A62" s="52">
        <f t="shared" si="0"/>
        <v>61</v>
      </c>
      <c r="B62" s="28" t="s">
        <v>134</v>
      </c>
      <c r="C62" s="13" t="s">
        <v>397</v>
      </c>
      <c r="D62" s="1" t="s">
        <v>1045</v>
      </c>
      <c r="E62" s="2" t="s">
        <v>32</v>
      </c>
      <c r="F62" s="8" t="s">
        <v>1038</v>
      </c>
      <c r="G62" s="3" t="s">
        <v>30</v>
      </c>
      <c r="H62" t="s">
        <v>1332</v>
      </c>
      <c r="P62" s="82" t="s">
        <v>1278</v>
      </c>
      <c r="R62" s="82"/>
      <c r="S62" t="s">
        <v>870</v>
      </c>
      <c r="T62" s="82">
        <v>60</v>
      </c>
    </row>
    <row r="63" spans="1:20" x14ac:dyDescent="0.25">
      <c r="A63" s="52">
        <f t="shared" si="0"/>
        <v>62</v>
      </c>
      <c r="B63" s="28" t="s">
        <v>134</v>
      </c>
      <c r="C63" s="13" t="s">
        <v>397</v>
      </c>
      <c r="D63" s="1" t="s">
        <v>1045</v>
      </c>
      <c r="E63" s="2" t="s">
        <v>33</v>
      </c>
      <c r="F63" s="18" t="s">
        <v>1024</v>
      </c>
      <c r="G63" s="3" t="s">
        <v>30</v>
      </c>
      <c r="H63" t="s">
        <v>1329</v>
      </c>
      <c r="P63" s="82" t="s">
        <v>1279</v>
      </c>
      <c r="R63" s="82"/>
      <c r="S63" t="s">
        <v>871</v>
      </c>
      <c r="T63" s="82">
        <v>61</v>
      </c>
    </row>
    <row r="64" spans="1:20" x14ac:dyDescent="0.25">
      <c r="A64" s="52">
        <f t="shared" si="0"/>
        <v>63</v>
      </c>
      <c r="B64" s="28" t="s">
        <v>134</v>
      </c>
      <c r="C64" s="13" t="s">
        <v>397</v>
      </c>
      <c r="D64" s="1" t="s">
        <v>1045</v>
      </c>
      <c r="E64" s="1" t="s">
        <v>7</v>
      </c>
      <c r="F64" s="18" t="s">
        <v>23</v>
      </c>
      <c r="G64" s="3" t="s">
        <v>30</v>
      </c>
      <c r="P64" s="82" t="s">
        <v>1280</v>
      </c>
      <c r="R64" s="82"/>
      <c r="S64" t="s">
        <v>824</v>
      </c>
      <c r="T64" s="82">
        <v>62</v>
      </c>
    </row>
    <row r="65" spans="1:20" x14ac:dyDescent="0.25">
      <c r="A65" s="52">
        <f t="shared" si="0"/>
        <v>64</v>
      </c>
      <c r="B65" s="28" t="s">
        <v>134</v>
      </c>
      <c r="C65" s="13" t="s">
        <v>397</v>
      </c>
      <c r="D65" s="1" t="s">
        <v>1045</v>
      </c>
      <c r="E65" s="2" t="s">
        <v>40</v>
      </c>
      <c r="F65" s="18" t="s">
        <v>1026</v>
      </c>
      <c r="G65" s="3" t="s">
        <v>30</v>
      </c>
      <c r="P65" s="82" t="s">
        <v>1281</v>
      </c>
      <c r="R65" s="82"/>
      <c r="S65" t="s">
        <v>1289</v>
      </c>
      <c r="T65" s="82">
        <v>63</v>
      </c>
    </row>
    <row r="66" spans="1:20" x14ac:dyDescent="0.25">
      <c r="A66" s="52">
        <f t="shared" si="0"/>
        <v>65</v>
      </c>
      <c r="B66" s="28" t="s">
        <v>134</v>
      </c>
      <c r="C66" s="13" t="s">
        <v>397</v>
      </c>
      <c r="D66" s="1" t="s">
        <v>1045</v>
      </c>
      <c r="E66" s="2" t="s">
        <v>42</v>
      </c>
      <c r="F66" s="18" t="s">
        <v>1027</v>
      </c>
      <c r="G66" s="3" t="s">
        <v>30</v>
      </c>
      <c r="H66" t="s">
        <v>1330</v>
      </c>
      <c r="P66" s="82" t="s">
        <v>1282</v>
      </c>
      <c r="R66" s="82"/>
      <c r="S66" t="s">
        <v>918</v>
      </c>
      <c r="T66" s="82">
        <v>64</v>
      </c>
    </row>
    <row r="67" spans="1:20" x14ac:dyDescent="0.25">
      <c r="A67" s="52">
        <f t="shared" si="0"/>
        <v>66</v>
      </c>
      <c r="B67" s="28" t="s">
        <v>134</v>
      </c>
      <c r="C67" s="13" t="s">
        <v>397</v>
      </c>
      <c r="D67" s="1" t="s">
        <v>1045</v>
      </c>
      <c r="E67" s="2" t="s">
        <v>44</v>
      </c>
      <c r="F67" s="18" t="s">
        <v>1118</v>
      </c>
      <c r="G67" s="3" t="s">
        <v>30</v>
      </c>
      <c r="P67" s="82" t="s">
        <v>1283</v>
      </c>
      <c r="R67" s="82"/>
      <c r="S67" t="s">
        <v>916</v>
      </c>
      <c r="T67" s="82">
        <v>65</v>
      </c>
    </row>
    <row r="68" spans="1:20" x14ac:dyDescent="0.25">
      <c r="A68" s="52">
        <f t="shared" ref="A68:A131" si="1">+A67+1</f>
        <v>67</v>
      </c>
      <c r="B68" s="28" t="s">
        <v>134</v>
      </c>
      <c r="C68" s="13" t="s">
        <v>397</v>
      </c>
      <c r="D68" s="1" t="s">
        <v>1045</v>
      </c>
      <c r="E68" s="13" t="s">
        <v>45</v>
      </c>
      <c r="F68" s="8" t="s">
        <v>61</v>
      </c>
      <c r="G68" s="3" t="s">
        <v>30</v>
      </c>
      <c r="H68" t="s">
        <v>1331</v>
      </c>
      <c r="P68" s="82"/>
      <c r="R68" s="82"/>
      <c r="T68" s="82"/>
    </row>
    <row r="69" spans="1:20" x14ac:dyDescent="0.25">
      <c r="A69" s="52">
        <f t="shared" si="1"/>
        <v>68</v>
      </c>
      <c r="B69" s="28" t="s">
        <v>134</v>
      </c>
      <c r="C69" s="13" t="s">
        <v>397</v>
      </c>
      <c r="D69" s="1" t="s">
        <v>1045</v>
      </c>
      <c r="E69" s="1" t="s">
        <v>46</v>
      </c>
      <c r="F69" s="8" t="s">
        <v>62</v>
      </c>
      <c r="G69" s="3" t="s">
        <v>30</v>
      </c>
      <c r="H69" s="54" t="s">
        <v>1318</v>
      </c>
      <c r="P69" s="82" t="s">
        <v>1284</v>
      </c>
      <c r="R69" s="82"/>
      <c r="S69" t="s">
        <v>917</v>
      </c>
      <c r="T69" s="82">
        <v>66</v>
      </c>
    </row>
    <row r="70" spans="1:20" x14ac:dyDescent="0.25">
      <c r="A70" s="52">
        <f t="shared" si="1"/>
        <v>69</v>
      </c>
      <c r="B70" s="28" t="s">
        <v>134</v>
      </c>
      <c r="C70" s="13" t="s">
        <v>397</v>
      </c>
      <c r="D70" s="1" t="s">
        <v>1045</v>
      </c>
      <c r="E70" s="13"/>
      <c r="F70" s="18" t="s">
        <v>1119</v>
      </c>
      <c r="G70" s="3" t="s">
        <v>30</v>
      </c>
      <c r="P70" s="82" t="s">
        <v>1285</v>
      </c>
      <c r="R70" s="82"/>
      <c r="S70" t="s">
        <v>1020</v>
      </c>
      <c r="T70" s="82">
        <v>67</v>
      </c>
    </row>
    <row r="71" spans="1:20" x14ac:dyDescent="0.25">
      <c r="A71" s="52">
        <f t="shared" si="1"/>
        <v>70</v>
      </c>
      <c r="B71" s="28" t="s">
        <v>134</v>
      </c>
      <c r="C71" s="13" t="s">
        <v>397</v>
      </c>
      <c r="D71" s="1" t="s">
        <v>374</v>
      </c>
      <c r="E71" s="1" t="s">
        <v>91</v>
      </c>
      <c r="F71" s="8" t="s">
        <v>16</v>
      </c>
      <c r="G71" s="3" t="s">
        <v>30</v>
      </c>
      <c r="P71" s="82" t="s">
        <v>1286</v>
      </c>
      <c r="R71" s="82"/>
      <c r="S71" t="s">
        <v>923</v>
      </c>
      <c r="T71" s="82">
        <v>68</v>
      </c>
    </row>
    <row r="72" spans="1:20" x14ac:dyDescent="0.25">
      <c r="A72" s="52">
        <f t="shared" si="1"/>
        <v>71</v>
      </c>
      <c r="B72" s="28" t="s">
        <v>134</v>
      </c>
      <c r="C72" s="13" t="s">
        <v>397</v>
      </c>
      <c r="D72" s="1" t="s">
        <v>374</v>
      </c>
      <c r="E72" s="12" t="s">
        <v>92</v>
      </c>
      <c r="F72" s="25" t="s">
        <v>69</v>
      </c>
      <c r="G72" s="3" t="s">
        <v>30</v>
      </c>
      <c r="P72" s="82" t="s">
        <v>1287</v>
      </c>
      <c r="R72" s="82"/>
      <c r="S72" t="s">
        <v>924</v>
      </c>
      <c r="T72" s="82">
        <v>69</v>
      </c>
    </row>
    <row r="73" spans="1:20" x14ac:dyDescent="0.25">
      <c r="A73" s="52">
        <f t="shared" si="1"/>
        <v>72</v>
      </c>
      <c r="B73" s="28" t="s">
        <v>134</v>
      </c>
      <c r="C73" s="13" t="s">
        <v>397</v>
      </c>
      <c r="D73" s="1" t="s">
        <v>374</v>
      </c>
      <c r="E73" s="12" t="s">
        <v>93</v>
      </c>
      <c r="F73" s="8" t="s">
        <v>99</v>
      </c>
      <c r="G73" s="3" t="s">
        <v>30</v>
      </c>
      <c r="P73" s="82" t="s">
        <v>1288</v>
      </c>
      <c r="R73" s="82"/>
      <c r="S73" t="s">
        <v>873</v>
      </c>
      <c r="T73" s="82">
        <v>70</v>
      </c>
    </row>
    <row r="74" spans="1:20" x14ac:dyDescent="0.25">
      <c r="A74" s="52">
        <f t="shared" si="1"/>
        <v>73</v>
      </c>
      <c r="B74" s="28" t="s">
        <v>134</v>
      </c>
      <c r="C74" s="13" t="s">
        <v>397</v>
      </c>
      <c r="D74" s="1" t="s">
        <v>374</v>
      </c>
      <c r="E74" s="12" t="s">
        <v>94</v>
      </c>
      <c r="F74" s="8" t="s">
        <v>100</v>
      </c>
      <c r="G74" s="3" t="s">
        <v>30</v>
      </c>
    </row>
    <row r="75" spans="1:20" x14ac:dyDescent="0.25">
      <c r="A75" s="52">
        <f t="shared" si="1"/>
        <v>74</v>
      </c>
      <c r="B75" s="28" t="s">
        <v>134</v>
      </c>
      <c r="C75" s="13" t="s">
        <v>397</v>
      </c>
      <c r="D75" s="1" t="s">
        <v>374</v>
      </c>
      <c r="E75" s="12" t="s">
        <v>95</v>
      </c>
      <c r="F75" s="8" t="s">
        <v>89</v>
      </c>
      <c r="G75" s="3" t="s">
        <v>30</v>
      </c>
    </row>
    <row r="76" spans="1:20" x14ac:dyDescent="0.25">
      <c r="A76" s="52">
        <f t="shared" si="1"/>
        <v>75</v>
      </c>
      <c r="B76" s="28" t="s">
        <v>134</v>
      </c>
      <c r="C76" s="13" t="s">
        <v>397</v>
      </c>
      <c r="D76" s="1" t="s">
        <v>374</v>
      </c>
      <c r="E76" s="12" t="s">
        <v>96</v>
      </c>
      <c r="F76" s="8" t="s">
        <v>101</v>
      </c>
      <c r="G76" s="3" t="s">
        <v>30</v>
      </c>
    </row>
    <row r="77" spans="1:20" x14ac:dyDescent="0.25">
      <c r="A77" s="52">
        <f t="shared" si="1"/>
        <v>76</v>
      </c>
      <c r="B77" s="28" t="s">
        <v>134</v>
      </c>
      <c r="C77" s="13" t="s">
        <v>397</v>
      </c>
      <c r="D77" s="1" t="s">
        <v>374</v>
      </c>
      <c r="E77" s="12" t="s">
        <v>97</v>
      </c>
      <c r="F77" s="8" t="s">
        <v>102</v>
      </c>
      <c r="G77" s="3" t="s">
        <v>30</v>
      </c>
    </row>
    <row r="78" spans="1:20" x14ac:dyDescent="0.25">
      <c r="A78" s="52">
        <f t="shared" si="1"/>
        <v>77</v>
      </c>
      <c r="B78" s="28" t="s">
        <v>134</v>
      </c>
      <c r="C78" s="13" t="s">
        <v>397</v>
      </c>
      <c r="D78" s="1" t="s">
        <v>374</v>
      </c>
      <c r="E78" s="12" t="s">
        <v>98</v>
      </c>
      <c r="F78" s="8" t="s">
        <v>103</v>
      </c>
      <c r="G78" s="3" t="s">
        <v>30</v>
      </c>
    </row>
    <row r="79" spans="1:20" x14ac:dyDescent="0.25">
      <c r="A79" s="52">
        <f t="shared" si="1"/>
        <v>78</v>
      </c>
      <c r="B79" s="29" t="s">
        <v>188</v>
      </c>
      <c r="C79" s="13" t="s">
        <v>398</v>
      </c>
      <c r="D79" s="13" t="s">
        <v>375</v>
      </c>
      <c r="E79" s="13" t="s">
        <v>91</v>
      </c>
      <c r="F79" s="18" t="s">
        <v>16</v>
      </c>
      <c r="G79" s="13" t="s">
        <v>30</v>
      </c>
      <c r="H79" s="53" t="s">
        <v>130</v>
      </c>
    </row>
    <row r="80" spans="1:20" x14ac:dyDescent="0.25">
      <c r="A80" s="52">
        <f t="shared" si="1"/>
        <v>79</v>
      </c>
      <c r="B80" s="29" t="s">
        <v>188</v>
      </c>
      <c r="C80" s="13" t="s">
        <v>398</v>
      </c>
      <c r="D80" s="13" t="s">
        <v>375</v>
      </c>
      <c r="E80" s="13" t="s">
        <v>135</v>
      </c>
      <c r="F80" s="18" t="s">
        <v>17</v>
      </c>
      <c r="G80" s="13" t="s">
        <v>30</v>
      </c>
      <c r="H80" s="53" t="s">
        <v>108</v>
      </c>
      <c r="I80" t="s">
        <v>108</v>
      </c>
    </row>
    <row r="81" spans="1:16" x14ac:dyDescent="0.25">
      <c r="A81" s="52">
        <f t="shared" si="1"/>
        <v>80</v>
      </c>
      <c r="B81" s="29" t="s">
        <v>188</v>
      </c>
      <c r="C81" s="13" t="s">
        <v>398</v>
      </c>
      <c r="D81" s="13" t="s">
        <v>375</v>
      </c>
      <c r="E81" s="13" t="s">
        <v>136</v>
      </c>
      <c r="F81" s="18" t="s">
        <v>18</v>
      </c>
      <c r="G81" s="13" t="s">
        <v>30</v>
      </c>
      <c r="H81" s="53" t="s">
        <v>109</v>
      </c>
      <c r="I81" t="s">
        <v>385</v>
      </c>
    </row>
    <row r="82" spans="1:16" x14ac:dyDescent="0.25">
      <c r="A82" s="52">
        <f t="shared" si="1"/>
        <v>81</v>
      </c>
      <c r="B82" s="29" t="s">
        <v>188</v>
      </c>
      <c r="C82" s="13" t="s">
        <v>398</v>
      </c>
      <c r="D82" s="13" t="s">
        <v>375</v>
      </c>
      <c r="E82" s="13" t="s">
        <v>137</v>
      </c>
      <c r="F82" s="18" t="s">
        <v>19</v>
      </c>
      <c r="G82" s="13" t="s">
        <v>30</v>
      </c>
      <c r="H82" s="53" t="s">
        <v>363</v>
      </c>
      <c r="I82" t="s">
        <v>363</v>
      </c>
      <c r="P82" s="82"/>
    </row>
    <row r="83" spans="1:16" x14ac:dyDescent="0.25">
      <c r="A83" s="52">
        <f t="shared" si="1"/>
        <v>82</v>
      </c>
      <c r="B83" s="29" t="s">
        <v>188</v>
      </c>
      <c r="C83" s="13" t="s">
        <v>398</v>
      </c>
      <c r="D83" s="13" t="s">
        <v>375</v>
      </c>
      <c r="E83" s="13" t="s">
        <v>138</v>
      </c>
      <c r="F83" s="18" t="s">
        <v>20</v>
      </c>
      <c r="G83" s="13" t="s">
        <v>30</v>
      </c>
      <c r="H83" s="53" t="s">
        <v>110</v>
      </c>
      <c r="I83" t="s">
        <v>110</v>
      </c>
      <c r="P83" s="82"/>
    </row>
    <row r="84" spans="1:16" x14ac:dyDescent="0.25">
      <c r="A84" s="52">
        <f t="shared" si="1"/>
        <v>83</v>
      </c>
      <c r="B84" s="29" t="s">
        <v>188</v>
      </c>
      <c r="C84" s="13" t="s">
        <v>398</v>
      </c>
      <c r="D84" s="13" t="s">
        <v>375</v>
      </c>
      <c r="E84" s="13" t="s">
        <v>139</v>
      </c>
      <c r="F84" s="18" t="s">
        <v>21</v>
      </c>
      <c r="G84" s="13" t="s">
        <v>30</v>
      </c>
      <c r="H84" s="53" t="s">
        <v>359</v>
      </c>
      <c r="I84" t="s">
        <v>359</v>
      </c>
      <c r="P84" s="82"/>
    </row>
    <row r="85" spans="1:16" x14ac:dyDescent="0.25">
      <c r="A85" s="52">
        <f t="shared" si="1"/>
        <v>84</v>
      </c>
      <c r="B85" s="29" t="s">
        <v>188</v>
      </c>
      <c r="C85" s="13" t="s">
        <v>398</v>
      </c>
      <c r="D85" s="13" t="s">
        <v>375</v>
      </c>
      <c r="E85" s="13" t="s">
        <v>140</v>
      </c>
      <c r="F85" s="18" t="s">
        <v>22</v>
      </c>
      <c r="G85" s="13" t="s">
        <v>30</v>
      </c>
      <c r="H85" s="54" t="s">
        <v>1134</v>
      </c>
      <c r="I85" t="s">
        <v>364</v>
      </c>
      <c r="P85" s="82"/>
    </row>
    <row r="86" spans="1:16" x14ac:dyDescent="0.25">
      <c r="A86" s="52">
        <f t="shared" si="1"/>
        <v>85</v>
      </c>
      <c r="B86" s="29" t="s">
        <v>188</v>
      </c>
      <c r="C86" s="13" t="s">
        <v>398</v>
      </c>
      <c r="D86" s="13" t="s">
        <v>375</v>
      </c>
      <c r="E86" s="13" t="s">
        <v>141</v>
      </c>
      <c r="F86" s="18" t="s">
        <v>23</v>
      </c>
      <c r="G86" s="13" t="s">
        <v>30</v>
      </c>
      <c r="H86" s="53" t="s">
        <v>360</v>
      </c>
      <c r="I86" t="s">
        <v>360</v>
      </c>
      <c r="P86" s="82"/>
    </row>
    <row r="87" spans="1:16" x14ac:dyDescent="0.25">
      <c r="A87" s="52">
        <f t="shared" si="1"/>
        <v>86</v>
      </c>
      <c r="B87" s="29" t="s">
        <v>188</v>
      </c>
      <c r="C87" s="13" t="s">
        <v>398</v>
      </c>
      <c r="D87" s="13" t="s">
        <v>375</v>
      </c>
      <c r="E87" s="13" t="s">
        <v>142</v>
      </c>
      <c r="F87" s="18" t="s">
        <v>24</v>
      </c>
      <c r="G87" s="13" t="s">
        <v>30</v>
      </c>
      <c r="H87" s="53" t="s">
        <v>111</v>
      </c>
      <c r="I87" t="s">
        <v>386</v>
      </c>
      <c r="P87" s="82"/>
    </row>
    <row r="88" spans="1:16" x14ac:dyDescent="0.25">
      <c r="A88" s="52">
        <f t="shared" si="1"/>
        <v>87</v>
      </c>
      <c r="B88" s="29" t="s">
        <v>188</v>
      </c>
      <c r="C88" s="13" t="s">
        <v>398</v>
      </c>
      <c r="D88" s="13" t="s">
        <v>375</v>
      </c>
      <c r="E88" s="13" t="s">
        <v>143</v>
      </c>
      <c r="F88" s="18" t="s">
        <v>25</v>
      </c>
      <c r="G88" s="13" t="s">
        <v>30</v>
      </c>
      <c r="H88" s="52" t="s">
        <v>400</v>
      </c>
      <c r="I88" t="s">
        <v>400</v>
      </c>
      <c r="P88" s="82"/>
    </row>
    <row r="89" spans="1:16" x14ac:dyDescent="0.25">
      <c r="A89" s="52">
        <f t="shared" si="1"/>
        <v>88</v>
      </c>
      <c r="B89" s="29" t="s">
        <v>188</v>
      </c>
      <c r="C89" s="13" t="s">
        <v>398</v>
      </c>
      <c r="D89" s="13" t="s">
        <v>375</v>
      </c>
      <c r="E89" s="13" t="s">
        <v>144</v>
      </c>
      <c r="F89" s="18" t="s">
        <v>202</v>
      </c>
      <c r="G89" s="13" t="s">
        <v>30</v>
      </c>
      <c r="H89" s="53" t="s">
        <v>112</v>
      </c>
      <c r="I89" t="s">
        <v>112</v>
      </c>
      <c r="P89" s="82"/>
    </row>
    <row r="90" spans="1:16" x14ac:dyDescent="0.25">
      <c r="A90" s="52">
        <f t="shared" si="1"/>
        <v>89</v>
      </c>
      <c r="B90" s="29" t="s">
        <v>188</v>
      </c>
      <c r="C90" s="13" t="s">
        <v>398</v>
      </c>
      <c r="D90" s="13" t="s">
        <v>375</v>
      </c>
      <c r="E90" s="13" t="s">
        <v>145</v>
      </c>
      <c r="F90" s="18" t="s">
        <v>255</v>
      </c>
      <c r="G90" s="13" t="s">
        <v>30</v>
      </c>
      <c r="H90" s="54" t="s">
        <v>361</v>
      </c>
      <c r="I90" t="s">
        <v>361</v>
      </c>
      <c r="P90" s="82"/>
    </row>
    <row r="91" spans="1:16" x14ac:dyDescent="0.25">
      <c r="A91" s="52">
        <f t="shared" si="1"/>
        <v>90</v>
      </c>
      <c r="B91" s="29" t="s">
        <v>188</v>
      </c>
      <c r="C91" s="13" t="s">
        <v>398</v>
      </c>
      <c r="D91" s="13" t="s">
        <v>375</v>
      </c>
      <c r="E91" s="13" t="s">
        <v>146</v>
      </c>
      <c r="F91" s="18" t="s">
        <v>256</v>
      </c>
      <c r="G91" s="13" t="s">
        <v>30</v>
      </c>
      <c r="H91" s="54" t="s">
        <v>362</v>
      </c>
      <c r="I91" t="s">
        <v>362</v>
      </c>
      <c r="P91" s="82"/>
    </row>
    <row r="92" spans="1:16" x14ac:dyDescent="0.25">
      <c r="A92" s="52">
        <f t="shared" si="1"/>
        <v>91</v>
      </c>
      <c r="B92" s="29" t="s">
        <v>188</v>
      </c>
      <c r="C92" s="13" t="s">
        <v>398</v>
      </c>
      <c r="D92" s="13" t="s">
        <v>375</v>
      </c>
      <c r="E92" s="13" t="s">
        <v>147</v>
      </c>
      <c r="F92" s="18" t="s">
        <v>26</v>
      </c>
      <c r="G92" s="13" t="s">
        <v>30</v>
      </c>
      <c r="H92" s="53" t="s">
        <v>844</v>
      </c>
      <c r="I92" t="s">
        <v>388</v>
      </c>
      <c r="P92" s="82"/>
    </row>
    <row r="93" spans="1:16" x14ac:dyDescent="0.25">
      <c r="A93" s="52">
        <f t="shared" si="1"/>
        <v>92</v>
      </c>
      <c r="B93" s="29" t="s">
        <v>188</v>
      </c>
      <c r="C93" s="13" t="s">
        <v>398</v>
      </c>
      <c r="D93" s="13" t="s">
        <v>375</v>
      </c>
      <c r="E93" s="13" t="s">
        <v>148</v>
      </c>
      <c r="F93" s="18" t="s">
        <v>149</v>
      </c>
      <c r="G93" s="13" t="s">
        <v>31</v>
      </c>
      <c r="H93" s="53" t="s">
        <v>387</v>
      </c>
      <c r="I93" t="s">
        <v>387</v>
      </c>
      <c r="P93" s="82"/>
    </row>
    <row r="94" spans="1:16" x14ac:dyDescent="0.25">
      <c r="A94" s="52">
        <f t="shared" si="1"/>
        <v>93</v>
      </c>
      <c r="B94" s="29" t="s">
        <v>188</v>
      </c>
      <c r="C94" s="13" t="s">
        <v>398</v>
      </c>
      <c r="D94" s="13" t="s">
        <v>375</v>
      </c>
      <c r="E94" s="13" t="s">
        <v>150</v>
      </c>
      <c r="F94" s="18" t="s">
        <v>28</v>
      </c>
      <c r="G94" s="13" t="s">
        <v>30</v>
      </c>
      <c r="H94" s="53" t="s">
        <v>845</v>
      </c>
      <c r="I94" t="s">
        <v>366</v>
      </c>
      <c r="P94" s="82"/>
    </row>
    <row r="95" spans="1:16" x14ac:dyDescent="0.25">
      <c r="A95" s="52">
        <f t="shared" si="1"/>
        <v>94</v>
      </c>
      <c r="B95" s="29" t="s">
        <v>188</v>
      </c>
      <c r="C95" s="13" t="s">
        <v>398</v>
      </c>
      <c r="D95" s="13" t="s">
        <v>375</v>
      </c>
      <c r="E95" s="1"/>
      <c r="F95" s="19" t="s">
        <v>29</v>
      </c>
      <c r="G95" s="2" t="s">
        <v>31</v>
      </c>
      <c r="H95" s="54" t="s">
        <v>132</v>
      </c>
      <c r="P95" s="82"/>
    </row>
    <row r="96" spans="1:16" x14ac:dyDescent="0.25">
      <c r="A96" s="52">
        <f t="shared" si="1"/>
        <v>95</v>
      </c>
      <c r="B96" s="29" t="s">
        <v>188</v>
      </c>
      <c r="C96" s="13" t="s">
        <v>398</v>
      </c>
      <c r="D96" s="13" t="s">
        <v>376</v>
      </c>
      <c r="E96" s="13" t="s">
        <v>91</v>
      </c>
      <c r="F96" s="18" t="s">
        <v>16</v>
      </c>
      <c r="G96" s="13" t="s">
        <v>30</v>
      </c>
      <c r="H96" s="53" t="s">
        <v>130</v>
      </c>
      <c r="P96" s="82"/>
    </row>
    <row r="97" spans="1:16" x14ac:dyDescent="0.25">
      <c r="A97" s="52">
        <f t="shared" si="1"/>
        <v>96</v>
      </c>
      <c r="B97" s="29" t="s">
        <v>188</v>
      </c>
      <c r="C97" s="13" t="s">
        <v>398</v>
      </c>
      <c r="D97" s="13" t="s">
        <v>376</v>
      </c>
      <c r="E97" s="13" t="s">
        <v>135</v>
      </c>
      <c r="F97" s="18" t="s">
        <v>17</v>
      </c>
      <c r="G97" s="13" t="s">
        <v>30</v>
      </c>
      <c r="H97" s="53" t="s">
        <v>108</v>
      </c>
      <c r="I97" t="s">
        <v>108</v>
      </c>
      <c r="P97" s="82"/>
    </row>
    <row r="98" spans="1:16" x14ac:dyDescent="0.25">
      <c r="A98" s="52">
        <f t="shared" si="1"/>
        <v>97</v>
      </c>
      <c r="B98" s="29" t="s">
        <v>188</v>
      </c>
      <c r="C98" s="13" t="s">
        <v>398</v>
      </c>
      <c r="D98" s="13" t="s">
        <v>376</v>
      </c>
      <c r="E98" s="13" t="s">
        <v>92</v>
      </c>
      <c r="F98" s="18" t="s">
        <v>69</v>
      </c>
      <c r="G98" s="13" t="s">
        <v>30</v>
      </c>
      <c r="H98" s="53" t="s">
        <v>114</v>
      </c>
      <c r="I98" t="s">
        <v>114</v>
      </c>
      <c r="P98" s="82"/>
    </row>
    <row r="99" spans="1:16" x14ac:dyDescent="0.25">
      <c r="A99" s="52">
        <f t="shared" si="1"/>
        <v>98</v>
      </c>
      <c r="B99" s="29" t="s">
        <v>188</v>
      </c>
      <c r="C99" s="13" t="s">
        <v>398</v>
      </c>
      <c r="D99" s="13" t="s">
        <v>376</v>
      </c>
      <c r="E99" s="13" t="s">
        <v>151</v>
      </c>
      <c r="F99" s="18" t="s">
        <v>152</v>
      </c>
      <c r="G99" s="13" t="s">
        <v>30</v>
      </c>
      <c r="H99" s="53" t="s">
        <v>128</v>
      </c>
      <c r="I99" t="s">
        <v>128</v>
      </c>
      <c r="P99" s="82"/>
    </row>
    <row r="100" spans="1:16" x14ac:dyDescent="0.25">
      <c r="A100" s="52">
        <f t="shared" si="1"/>
        <v>99</v>
      </c>
      <c r="B100" s="29" t="s">
        <v>188</v>
      </c>
      <c r="C100" s="13" t="s">
        <v>398</v>
      </c>
      <c r="D100" s="13" t="s">
        <v>376</v>
      </c>
      <c r="E100" s="13" t="s">
        <v>93</v>
      </c>
      <c r="F100" s="18" t="s">
        <v>205</v>
      </c>
      <c r="G100" s="13" t="s">
        <v>30</v>
      </c>
      <c r="H100" s="53" t="s">
        <v>368</v>
      </c>
      <c r="I100" t="s">
        <v>367</v>
      </c>
      <c r="P100" s="82"/>
    </row>
    <row r="101" spans="1:16" x14ac:dyDescent="0.25">
      <c r="A101" s="52">
        <f t="shared" si="1"/>
        <v>100</v>
      </c>
      <c r="B101" s="29" t="s">
        <v>188</v>
      </c>
      <c r="C101" s="13" t="s">
        <v>398</v>
      </c>
      <c r="D101" s="13" t="s">
        <v>376</v>
      </c>
      <c r="E101" s="13" t="s">
        <v>153</v>
      </c>
      <c r="F101" s="18" t="s">
        <v>52</v>
      </c>
      <c r="G101" s="13" t="s">
        <v>30</v>
      </c>
      <c r="H101" s="53" t="s">
        <v>115</v>
      </c>
      <c r="I101" t="s">
        <v>115</v>
      </c>
      <c r="P101" s="82"/>
    </row>
    <row r="102" spans="1:16" x14ac:dyDescent="0.25">
      <c r="A102" s="52">
        <f t="shared" si="1"/>
        <v>101</v>
      </c>
      <c r="B102" s="29" t="s">
        <v>188</v>
      </c>
      <c r="C102" s="13" t="s">
        <v>398</v>
      </c>
      <c r="D102" s="13" t="s">
        <v>376</v>
      </c>
      <c r="E102" s="13" t="s">
        <v>154</v>
      </c>
      <c r="F102" s="18" t="s">
        <v>53</v>
      </c>
      <c r="G102" s="13" t="s">
        <v>30</v>
      </c>
      <c r="H102" s="52" t="s">
        <v>400</v>
      </c>
      <c r="I102" t="s">
        <v>400</v>
      </c>
      <c r="P102" s="82"/>
    </row>
    <row r="103" spans="1:16" x14ac:dyDescent="0.25">
      <c r="A103" s="52">
        <f t="shared" si="1"/>
        <v>102</v>
      </c>
      <c r="B103" s="29" t="s">
        <v>188</v>
      </c>
      <c r="C103" s="13" t="s">
        <v>398</v>
      </c>
      <c r="D103" s="13" t="s">
        <v>376</v>
      </c>
      <c r="E103" s="13" t="s">
        <v>155</v>
      </c>
      <c r="F103" s="18" t="s">
        <v>54</v>
      </c>
      <c r="G103" s="13" t="s">
        <v>30</v>
      </c>
      <c r="H103" s="53" t="s">
        <v>116</v>
      </c>
      <c r="I103" t="s">
        <v>116</v>
      </c>
      <c r="P103" s="82"/>
    </row>
    <row r="104" spans="1:16" x14ac:dyDescent="0.25">
      <c r="A104" s="52">
        <f t="shared" si="1"/>
        <v>103</v>
      </c>
      <c r="B104" s="29" t="s">
        <v>188</v>
      </c>
      <c r="C104" s="13" t="s">
        <v>398</v>
      </c>
      <c r="D104" s="13" t="s">
        <v>376</v>
      </c>
      <c r="E104" s="13" t="s">
        <v>156</v>
      </c>
      <c r="F104" s="18" t="s">
        <v>55</v>
      </c>
      <c r="G104" s="13" t="s">
        <v>68</v>
      </c>
      <c r="H104" s="53" t="s">
        <v>117</v>
      </c>
      <c r="I104" t="s">
        <v>117</v>
      </c>
      <c r="P104" s="82"/>
    </row>
    <row r="105" spans="1:16" x14ac:dyDescent="0.25">
      <c r="A105" s="52">
        <f t="shared" si="1"/>
        <v>104</v>
      </c>
      <c r="B105" s="29" t="s">
        <v>188</v>
      </c>
      <c r="C105" s="13" t="s">
        <v>398</v>
      </c>
      <c r="D105" s="13" t="s">
        <v>376</v>
      </c>
      <c r="E105" s="13" t="s">
        <v>157</v>
      </c>
      <c r="F105" s="18" t="s">
        <v>56</v>
      </c>
      <c r="G105" s="13" t="s">
        <v>30</v>
      </c>
      <c r="H105" s="54" t="s">
        <v>842</v>
      </c>
      <c r="I105" t="s">
        <v>118</v>
      </c>
      <c r="P105" s="82"/>
    </row>
    <row r="106" spans="1:16" x14ac:dyDescent="0.25">
      <c r="A106" s="52">
        <f t="shared" si="1"/>
        <v>105</v>
      </c>
      <c r="B106" s="29" t="s">
        <v>188</v>
      </c>
      <c r="C106" s="13" t="s">
        <v>398</v>
      </c>
      <c r="D106" s="13" t="s">
        <v>376</v>
      </c>
      <c r="E106" s="13" t="s">
        <v>158</v>
      </c>
      <c r="F106" s="18" t="s">
        <v>57</v>
      </c>
      <c r="G106" s="13" t="s">
        <v>30</v>
      </c>
      <c r="H106" s="54" t="s">
        <v>898</v>
      </c>
      <c r="P106" s="82"/>
    </row>
    <row r="107" spans="1:16" x14ac:dyDescent="0.25">
      <c r="A107" s="52">
        <f t="shared" si="1"/>
        <v>106</v>
      </c>
      <c r="B107" s="29" t="s">
        <v>188</v>
      </c>
      <c r="C107" s="13" t="s">
        <v>398</v>
      </c>
      <c r="D107" s="13" t="s">
        <v>376</v>
      </c>
      <c r="E107" s="13" t="s">
        <v>159</v>
      </c>
      <c r="F107" s="18" t="s">
        <v>58</v>
      </c>
      <c r="G107" s="13" t="s">
        <v>30</v>
      </c>
      <c r="H107" s="53" t="s">
        <v>119</v>
      </c>
      <c r="I107" t="s">
        <v>119</v>
      </c>
      <c r="P107" s="82"/>
    </row>
    <row r="108" spans="1:16" x14ac:dyDescent="0.25">
      <c r="A108" s="52">
        <f t="shared" si="1"/>
        <v>107</v>
      </c>
      <c r="B108" s="29" t="s">
        <v>188</v>
      </c>
      <c r="C108" s="13" t="s">
        <v>398</v>
      </c>
      <c r="D108" s="13" t="s">
        <v>376</v>
      </c>
      <c r="E108" s="13" t="s">
        <v>160</v>
      </c>
      <c r="F108" s="18" t="s">
        <v>59</v>
      </c>
      <c r="G108" s="13" t="s">
        <v>30</v>
      </c>
      <c r="H108" s="53" t="s">
        <v>120</v>
      </c>
      <c r="I108" t="s">
        <v>120</v>
      </c>
      <c r="P108" s="82"/>
    </row>
    <row r="109" spans="1:16" x14ac:dyDescent="0.25">
      <c r="A109" s="52">
        <f t="shared" si="1"/>
        <v>108</v>
      </c>
      <c r="B109" s="29" t="s">
        <v>188</v>
      </c>
      <c r="C109" s="13" t="s">
        <v>398</v>
      </c>
      <c r="D109" s="13" t="s">
        <v>376</v>
      </c>
      <c r="E109" s="13" t="s">
        <v>161</v>
      </c>
      <c r="F109" s="18" t="s">
        <v>60</v>
      </c>
      <c r="G109" s="13" t="s">
        <v>30</v>
      </c>
      <c r="H109" s="53" t="s">
        <v>404</v>
      </c>
      <c r="I109" t="s">
        <v>121</v>
      </c>
      <c r="P109" s="82"/>
    </row>
    <row r="110" spans="1:16" x14ac:dyDescent="0.25">
      <c r="A110" s="52">
        <f t="shared" si="1"/>
        <v>109</v>
      </c>
      <c r="B110" s="29" t="s">
        <v>188</v>
      </c>
      <c r="C110" s="13" t="s">
        <v>398</v>
      </c>
      <c r="D110" s="13" t="s">
        <v>376</v>
      </c>
      <c r="E110" s="13" t="s">
        <v>162</v>
      </c>
      <c r="F110" s="18" t="s">
        <v>61</v>
      </c>
      <c r="G110" s="13" t="s">
        <v>30</v>
      </c>
      <c r="H110" s="53" t="s">
        <v>129</v>
      </c>
      <c r="I110" t="s">
        <v>129</v>
      </c>
      <c r="P110" s="82"/>
    </row>
    <row r="111" spans="1:16" x14ac:dyDescent="0.25">
      <c r="A111" s="52">
        <f t="shared" si="1"/>
        <v>110</v>
      </c>
      <c r="B111" s="29" t="s">
        <v>188</v>
      </c>
      <c r="C111" s="13" t="s">
        <v>398</v>
      </c>
      <c r="D111" s="13" t="s">
        <v>376</v>
      </c>
      <c r="E111" s="13" t="s">
        <v>163</v>
      </c>
      <c r="F111" s="18" t="s">
        <v>62</v>
      </c>
      <c r="G111" s="13" t="s">
        <v>30</v>
      </c>
      <c r="H111" s="53" t="s">
        <v>122</v>
      </c>
      <c r="I111" t="s">
        <v>122</v>
      </c>
      <c r="P111" s="82"/>
    </row>
    <row r="112" spans="1:16" x14ac:dyDescent="0.25">
      <c r="A112" s="52">
        <f t="shared" si="1"/>
        <v>111</v>
      </c>
      <c r="B112" s="29" t="s">
        <v>188</v>
      </c>
      <c r="C112" s="13" t="s">
        <v>398</v>
      </c>
      <c r="D112" s="13" t="s">
        <v>376</v>
      </c>
      <c r="E112" s="13" t="s">
        <v>164</v>
      </c>
      <c r="F112" s="18" t="s">
        <v>63</v>
      </c>
      <c r="G112" s="13" t="s">
        <v>30</v>
      </c>
      <c r="H112" s="54" t="s">
        <v>1134</v>
      </c>
      <c r="I112" t="s">
        <v>364</v>
      </c>
      <c r="P112" s="82"/>
    </row>
    <row r="113" spans="1:16" x14ac:dyDescent="0.25">
      <c r="A113" s="52">
        <f t="shared" si="1"/>
        <v>112</v>
      </c>
      <c r="B113" s="29" t="s">
        <v>188</v>
      </c>
      <c r="C113" s="13" t="s">
        <v>398</v>
      </c>
      <c r="D113" s="13" t="s">
        <v>376</v>
      </c>
      <c r="E113" s="13" t="s">
        <v>165</v>
      </c>
      <c r="F113" s="18" t="s">
        <v>65</v>
      </c>
      <c r="G113" s="13" t="s">
        <v>30</v>
      </c>
      <c r="H113" s="53" t="s">
        <v>389</v>
      </c>
      <c r="I113" t="s">
        <v>389</v>
      </c>
      <c r="P113" s="82"/>
    </row>
    <row r="114" spans="1:16" x14ac:dyDescent="0.25">
      <c r="A114" s="52">
        <f t="shared" si="1"/>
        <v>113</v>
      </c>
      <c r="B114" s="29" t="s">
        <v>188</v>
      </c>
      <c r="C114" s="13" t="s">
        <v>398</v>
      </c>
      <c r="D114" s="13" t="s">
        <v>376</v>
      </c>
      <c r="E114" s="13" t="s">
        <v>166</v>
      </c>
      <c r="F114" s="18" t="s">
        <v>167</v>
      </c>
      <c r="G114" s="13" t="s">
        <v>30</v>
      </c>
      <c r="H114" s="53" t="s">
        <v>1049</v>
      </c>
      <c r="I114" t="s">
        <v>390</v>
      </c>
      <c r="P114" s="82"/>
    </row>
    <row r="115" spans="1:16" x14ac:dyDescent="0.25">
      <c r="A115" s="52">
        <f t="shared" si="1"/>
        <v>114</v>
      </c>
      <c r="B115" s="29" t="s">
        <v>188</v>
      </c>
      <c r="C115" s="13" t="s">
        <v>398</v>
      </c>
      <c r="D115" s="13" t="s">
        <v>376</v>
      </c>
      <c r="E115" s="13" t="s">
        <v>168</v>
      </c>
      <c r="F115" s="18" t="s">
        <v>169</v>
      </c>
      <c r="G115" s="13" t="s">
        <v>30</v>
      </c>
      <c r="H115" s="53" t="s">
        <v>391</v>
      </c>
      <c r="I115" t="s">
        <v>391</v>
      </c>
      <c r="P115" s="82"/>
    </row>
    <row r="116" spans="1:16" x14ac:dyDescent="0.25">
      <c r="A116" s="52">
        <f t="shared" si="1"/>
        <v>115</v>
      </c>
      <c r="B116" s="29" t="s">
        <v>188</v>
      </c>
      <c r="C116" s="13" t="s">
        <v>398</v>
      </c>
      <c r="D116" s="13" t="s">
        <v>376</v>
      </c>
      <c r="E116" s="13" t="s">
        <v>170</v>
      </c>
      <c r="F116" s="18" t="s">
        <v>171</v>
      </c>
      <c r="G116" s="13" t="s">
        <v>30</v>
      </c>
      <c r="H116" s="53" t="s">
        <v>392</v>
      </c>
      <c r="I116" t="s">
        <v>392</v>
      </c>
      <c r="P116" s="82"/>
    </row>
    <row r="117" spans="1:16" x14ac:dyDescent="0.25">
      <c r="A117" s="52">
        <f t="shared" si="1"/>
        <v>116</v>
      </c>
      <c r="B117" s="29" t="s">
        <v>188</v>
      </c>
      <c r="C117" s="13" t="s">
        <v>398</v>
      </c>
      <c r="D117" s="13" t="s">
        <v>376</v>
      </c>
      <c r="E117" s="1"/>
      <c r="F117" s="19" t="s">
        <v>29</v>
      </c>
      <c r="G117" s="2" t="s">
        <v>31</v>
      </c>
      <c r="H117" s="54" t="s">
        <v>132</v>
      </c>
      <c r="P117" s="82"/>
    </row>
    <row r="118" spans="1:16" x14ac:dyDescent="0.25">
      <c r="A118" s="52">
        <f t="shared" si="1"/>
        <v>117</v>
      </c>
      <c r="B118" s="29" t="s">
        <v>188</v>
      </c>
      <c r="C118" s="13" t="s">
        <v>398</v>
      </c>
      <c r="D118" s="13" t="s">
        <v>377</v>
      </c>
      <c r="E118" s="13" t="s">
        <v>91</v>
      </c>
      <c r="F118" s="18" t="s">
        <v>16</v>
      </c>
      <c r="G118" s="13" t="s">
        <v>30</v>
      </c>
      <c r="H118" s="53" t="s">
        <v>130</v>
      </c>
      <c r="P118" s="82"/>
    </row>
    <row r="119" spans="1:16" x14ac:dyDescent="0.25">
      <c r="A119" s="52">
        <f t="shared" si="1"/>
        <v>118</v>
      </c>
      <c r="B119" s="29" t="s">
        <v>188</v>
      </c>
      <c r="C119" s="13" t="s">
        <v>398</v>
      </c>
      <c r="D119" s="13" t="s">
        <v>377</v>
      </c>
      <c r="E119" s="13" t="s">
        <v>135</v>
      </c>
      <c r="F119" s="18" t="s">
        <v>17</v>
      </c>
      <c r="G119" s="13" t="s">
        <v>30</v>
      </c>
      <c r="H119" s="53" t="s">
        <v>108</v>
      </c>
      <c r="I119" t="s">
        <v>108</v>
      </c>
      <c r="P119" s="82"/>
    </row>
    <row r="120" spans="1:16" x14ac:dyDescent="0.25">
      <c r="A120" s="52">
        <f t="shared" si="1"/>
        <v>119</v>
      </c>
      <c r="B120" s="29" t="s">
        <v>188</v>
      </c>
      <c r="C120" s="13" t="s">
        <v>398</v>
      </c>
      <c r="D120" s="13" t="s">
        <v>377</v>
      </c>
      <c r="E120" s="13" t="s">
        <v>92</v>
      </c>
      <c r="F120" s="18" t="s">
        <v>69</v>
      </c>
      <c r="G120" s="13" t="s">
        <v>30</v>
      </c>
      <c r="H120" s="53" t="s">
        <v>114</v>
      </c>
      <c r="I120" t="s">
        <v>114</v>
      </c>
      <c r="P120" s="82"/>
    </row>
    <row r="121" spans="1:16" x14ac:dyDescent="0.25">
      <c r="A121" s="52">
        <f t="shared" si="1"/>
        <v>120</v>
      </c>
      <c r="B121" s="29" t="s">
        <v>188</v>
      </c>
      <c r="C121" s="13" t="s">
        <v>398</v>
      </c>
      <c r="D121" s="13" t="s">
        <v>377</v>
      </c>
      <c r="E121" s="13" t="s">
        <v>172</v>
      </c>
      <c r="F121" s="18" t="s">
        <v>71</v>
      </c>
      <c r="G121" s="13" t="s">
        <v>30</v>
      </c>
      <c r="H121" s="54" t="s">
        <v>131</v>
      </c>
      <c r="I121" t="s">
        <v>131</v>
      </c>
      <c r="P121" s="82"/>
    </row>
    <row r="122" spans="1:16" x14ac:dyDescent="0.25">
      <c r="A122" s="52">
        <f t="shared" si="1"/>
        <v>121</v>
      </c>
      <c r="B122" s="29" t="s">
        <v>188</v>
      </c>
      <c r="C122" s="13" t="s">
        <v>398</v>
      </c>
      <c r="D122" s="13" t="s">
        <v>377</v>
      </c>
      <c r="E122" s="13" t="s">
        <v>173</v>
      </c>
      <c r="F122" s="18" t="s">
        <v>73</v>
      </c>
      <c r="G122" s="13" t="s">
        <v>30</v>
      </c>
      <c r="H122" s="54" t="s">
        <v>126</v>
      </c>
      <c r="I122" t="s">
        <v>126</v>
      </c>
      <c r="P122" s="82"/>
    </row>
    <row r="123" spans="1:16" x14ac:dyDescent="0.25">
      <c r="A123" s="52">
        <f t="shared" si="1"/>
        <v>122</v>
      </c>
      <c r="B123" s="29" t="s">
        <v>188</v>
      </c>
      <c r="C123" s="13" t="s">
        <v>398</v>
      </c>
      <c r="D123" s="13" t="s">
        <v>377</v>
      </c>
      <c r="E123" s="13" t="s">
        <v>174</v>
      </c>
      <c r="F123" s="18" t="s">
        <v>79</v>
      </c>
      <c r="G123" s="13" t="s">
        <v>30</v>
      </c>
      <c r="H123" s="54" t="s">
        <v>913</v>
      </c>
      <c r="I123" t="s">
        <v>126</v>
      </c>
      <c r="P123" s="82"/>
    </row>
    <row r="124" spans="1:16" x14ac:dyDescent="0.25">
      <c r="A124" s="52">
        <f t="shared" si="1"/>
        <v>123</v>
      </c>
      <c r="B124" s="29" t="s">
        <v>188</v>
      </c>
      <c r="C124" s="13" t="s">
        <v>398</v>
      </c>
      <c r="D124" s="13" t="s">
        <v>377</v>
      </c>
      <c r="E124" s="13" t="s">
        <v>175</v>
      </c>
      <c r="F124" s="18" t="s">
        <v>80</v>
      </c>
      <c r="G124" s="13" t="s">
        <v>30</v>
      </c>
      <c r="H124" s="52" t="s">
        <v>1130</v>
      </c>
      <c r="I124" t="s">
        <v>369</v>
      </c>
      <c r="P124" s="82"/>
    </row>
    <row r="125" spans="1:16" s="30" customFormat="1" ht="14.45" customHeight="1" x14ac:dyDescent="0.25">
      <c r="A125" s="52">
        <f t="shared" si="1"/>
        <v>124</v>
      </c>
      <c r="B125" s="29" t="s">
        <v>188</v>
      </c>
      <c r="C125" s="13" t="s">
        <v>398</v>
      </c>
      <c r="D125" s="13" t="s">
        <v>377</v>
      </c>
      <c r="E125" s="13" t="s">
        <v>176</v>
      </c>
      <c r="F125" s="18" t="s">
        <v>81</v>
      </c>
      <c r="G125" s="13" t="s">
        <v>30</v>
      </c>
      <c r="H125" s="83" t="s">
        <v>1126</v>
      </c>
      <c r="I125"/>
      <c r="J125"/>
      <c r="K125"/>
      <c r="P125" s="84"/>
    </row>
    <row r="126" spans="1:16" x14ac:dyDescent="0.25">
      <c r="A126" s="52">
        <f t="shared" si="1"/>
        <v>125</v>
      </c>
      <c r="B126" s="29" t="s">
        <v>188</v>
      </c>
      <c r="C126" s="13" t="s">
        <v>398</v>
      </c>
      <c r="D126" s="13" t="s">
        <v>377</v>
      </c>
      <c r="E126" s="13" t="s">
        <v>177</v>
      </c>
      <c r="F126" s="18" t="s">
        <v>82</v>
      </c>
      <c r="G126" s="13" t="s">
        <v>30</v>
      </c>
      <c r="H126" s="52" t="s">
        <v>393</v>
      </c>
      <c r="I126" t="s">
        <v>393</v>
      </c>
      <c r="P126" s="82"/>
    </row>
    <row r="127" spans="1:16" x14ac:dyDescent="0.25">
      <c r="A127" s="52">
        <f t="shared" si="1"/>
        <v>126</v>
      </c>
      <c r="B127" s="29" t="s">
        <v>188</v>
      </c>
      <c r="C127" s="13" t="s">
        <v>398</v>
      </c>
      <c r="D127" s="13" t="s">
        <v>377</v>
      </c>
      <c r="E127" s="13" t="s">
        <v>178</v>
      </c>
      <c r="F127" s="18" t="s">
        <v>83</v>
      </c>
      <c r="G127" s="13" t="s">
        <v>30</v>
      </c>
      <c r="H127" s="52" t="s">
        <v>395</v>
      </c>
      <c r="I127" t="s">
        <v>394</v>
      </c>
      <c r="P127" s="82"/>
    </row>
    <row r="128" spans="1:16" x14ac:dyDescent="0.25">
      <c r="A128" s="52">
        <f t="shared" si="1"/>
        <v>127</v>
      </c>
      <c r="B128" s="29" t="s">
        <v>188</v>
      </c>
      <c r="C128" s="13" t="s">
        <v>398</v>
      </c>
      <c r="D128" s="13" t="s">
        <v>379</v>
      </c>
      <c r="E128" s="13" t="s">
        <v>179</v>
      </c>
      <c r="F128" s="18" t="s">
        <v>16</v>
      </c>
      <c r="G128" s="13" t="s">
        <v>30</v>
      </c>
      <c r="H128" s="54" t="s">
        <v>130</v>
      </c>
      <c r="P128" s="82"/>
    </row>
    <row r="129" spans="1:16" x14ac:dyDescent="0.25">
      <c r="A129" s="52">
        <f t="shared" si="1"/>
        <v>128</v>
      </c>
      <c r="B129" s="29" t="s">
        <v>188</v>
      </c>
      <c r="C129" s="13" t="s">
        <v>398</v>
      </c>
      <c r="D129" s="13" t="s">
        <v>379</v>
      </c>
      <c r="E129" s="13" t="s">
        <v>92</v>
      </c>
      <c r="F129" s="18" t="s">
        <v>69</v>
      </c>
      <c r="G129" s="13" t="s">
        <v>30</v>
      </c>
      <c r="H129" s="54" t="s">
        <v>114</v>
      </c>
      <c r="P129" s="82"/>
    </row>
    <row r="130" spans="1:16" x14ac:dyDescent="0.25">
      <c r="A130" s="52">
        <f t="shared" si="1"/>
        <v>129</v>
      </c>
      <c r="B130" s="29" t="s">
        <v>188</v>
      </c>
      <c r="C130" s="13" t="s">
        <v>398</v>
      </c>
      <c r="D130" s="13" t="s">
        <v>379</v>
      </c>
      <c r="E130" s="13" t="s">
        <v>181</v>
      </c>
      <c r="F130" s="18" t="s">
        <v>182</v>
      </c>
      <c r="G130" s="13" t="s">
        <v>30</v>
      </c>
      <c r="H130" t="s">
        <v>1123</v>
      </c>
      <c r="P130" s="82"/>
    </row>
    <row r="131" spans="1:16" x14ac:dyDescent="0.25">
      <c r="A131" s="52">
        <f t="shared" si="1"/>
        <v>130</v>
      </c>
      <c r="B131" s="29" t="s">
        <v>188</v>
      </c>
      <c r="C131" s="13" t="s">
        <v>398</v>
      </c>
      <c r="D131" s="13" t="s">
        <v>378</v>
      </c>
      <c r="E131" s="13" t="s">
        <v>179</v>
      </c>
      <c r="F131" s="18" t="s">
        <v>16</v>
      </c>
      <c r="G131" s="13" t="s">
        <v>30</v>
      </c>
      <c r="P131" s="82"/>
    </row>
    <row r="132" spans="1:16" x14ac:dyDescent="0.25">
      <c r="A132" s="52">
        <f t="shared" ref="A132:A195" si="2">+A131+1</f>
        <v>131</v>
      </c>
      <c r="B132" s="29" t="s">
        <v>188</v>
      </c>
      <c r="C132" s="13" t="s">
        <v>398</v>
      </c>
      <c r="D132" s="13" t="s">
        <v>378</v>
      </c>
      <c r="E132" s="13" t="s">
        <v>92</v>
      </c>
      <c r="F132" s="18" t="s">
        <v>69</v>
      </c>
      <c r="G132" s="13" t="s">
        <v>30</v>
      </c>
      <c r="P132" s="82"/>
    </row>
    <row r="133" spans="1:16" x14ac:dyDescent="0.25">
      <c r="A133" s="52">
        <f t="shared" si="2"/>
        <v>132</v>
      </c>
      <c r="B133" s="29" t="s">
        <v>188</v>
      </c>
      <c r="C133" s="13" t="s">
        <v>398</v>
      </c>
      <c r="D133" s="13" t="s">
        <v>378</v>
      </c>
      <c r="E133" s="13" t="s">
        <v>180</v>
      </c>
      <c r="F133" s="18" t="s">
        <v>88</v>
      </c>
      <c r="G133" s="13" t="s">
        <v>30</v>
      </c>
      <c r="P133" s="82"/>
    </row>
    <row r="134" spans="1:16" x14ac:dyDescent="0.25">
      <c r="A134" s="52">
        <f t="shared" si="2"/>
        <v>133</v>
      </c>
      <c r="B134" s="29" t="s">
        <v>188</v>
      </c>
      <c r="C134" s="13" t="s">
        <v>398</v>
      </c>
      <c r="D134" s="13" t="s">
        <v>378</v>
      </c>
      <c r="E134" s="1" t="s">
        <v>1110</v>
      </c>
      <c r="F134" s="8" t="s">
        <v>89</v>
      </c>
      <c r="G134" s="13" t="s">
        <v>30</v>
      </c>
      <c r="P134" s="82"/>
    </row>
    <row r="135" spans="1:16" x14ac:dyDescent="0.25">
      <c r="A135" s="52">
        <f t="shared" si="2"/>
        <v>134</v>
      </c>
      <c r="B135" s="29" t="s">
        <v>188</v>
      </c>
      <c r="C135" s="13" t="s">
        <v>398</v>
      </c>
      <c r="D135" s="13" t="s">
        <v>378</v>
      </c>
      <c r="E135" s="1" t="s">
        <v>1111</v>
      </c>
      <c r="F135" s="8" t="s">
        <v>90</v>
      </c>
      <c r="G135" s="13" t="s">
        <v>30</v>
      </c>
      <c r="P135" s="82"/>
    </row>
    <row r="136" spans="1:16" x14ac:dyDescent="0.25">
      <c r="A136" s="52">
        <f t="shared" si="2"/>
        <v>135</v>
      </c>
      <c r="B136" s="29" t="s">
        <v>188</v>
      </c>
      <c r="C136" s="13" t="s">
        <v>398</v>
      </c>
      <c r="D136" s="13" t="s">
        <v>1050</v>
      </c>
      <c r="E136" s="13" t="s">
        <v>91</v>
      </c>
      <c r="F136" s="18" t="s">
        <v>16</v>
      </c>
      <c r="G136" s="13" t="s">
        <v>30</v>
      </c>
      <c r="H136" s="53" t="s">
        <v>130</v>
      </c>
      <c r="P136" s="82"/>
    </row>
    <row r="137" spans="1:16" x14ac:dyDescent="0.25">
      <c r="A137" s="52">
        <f t="shared" si="2"/>
        <v>136</v>
      </c>
      <c r="B137" s="29" t="s">
        <v>188</v>
      </c>
      <c r="C137" s="13" t="s">
        <v>398</v>
      </c>
      <c r="D137" s="13" t="s">
        <v>1050</v>
      </c>
      <c r="E137" s="13" t="s">
        <v>135</v>
      </c>
      <c r="F137" s="18" t="s">
        <v>17</v>
      </c>
      <c r="G137" s="13" t="s">
        <v>30</v>
      </c>
      <c r="H137" s="54" t="s">
        <v>108</v>
      </c>
      <c r="P137" s="82"/>
    </row>
    <row r="138" spans="1:16" x14ac:dyDescent="0.25">
      <c r="A138" s="52">
        <f t="shared" si="2"/>
        <v>137</v>
      </c>
      <c r="B138" s="29" t="s">
        <v>188</v>
      </c>
      <c r="C138" s="13" t="s">
        <v>398</v>
      </c>
      <c r="D138" s="13" t="s">
        <v>1050</v>
      </c>
      <c r="E138" s="13" t="s">
        <v>92</v>
      </c>
      <c r="F138" s="18" t="s">
        <v>69</v>
      </c>
      <c r="G138" s="13" t="s">
        <v>30</v>
      </c>
      <c r="H138" s="54" t="s">
        <v>114</v>
      </c>
      <c r="P138" s="82"/>
    </row>
    <row r="139" spans="1:16" x14ac:dyDescent="0.25">
      <c r="A139" s="52">
        <f t="shared" si="2"/>
        <v>138</v>
      </c>
      <c r="B139" s="29" t="s">
        <v>188</v>
      </c>
      <c r="C139" s="13" t="s">
        <v>398</v>
      </c>
      <c r="D139" s="13" t="s">
        <v>1050</v>
      </c>
      <c r="E139" s="13" t="s">
        <v>91</v>
      </c>
      <c r="F139" s="18" t="s">
        <v>1038</v>
      </c>
      <c r="G139" s="13" t="s">
        <v>30</v>
      </c>
      <c r="H139" s="53" t="s">
        <v>1344</v>
      </c>
      <c r="P139" s="82"/>
    </row>
    <row r="140" spans="1:16" x14ac:dyDescent="0.25">
      <c r="A140" s="52">
        <f t="shared" si="2"/>
        <v>139</v>
      </c>
      <c r="B140" s="29" t="s">
        <v>188</v>
      </c>
      <c r="C140" s="13" t="s">
        <v>398</v>
      </c>
      <c r="D140" s="13" t="s">
        <v>1050</v>
      </c>
      <c r="E140" s="13" t="s">
        <v>135</v>
      </c>
      <c r="F140" s="18" t="s">
        <v>1051</v>
      </c>
      <c r="G140" s="13" t="s">
        <v>30</v>
      </c>
      <c r="H140" t="s">
        <v>1332</v>
      </c>
      <c r="P140" s="82"/>
    </row>
    <row r="141" spans="1:16" x14ac:dyDescent="0.25">
      <c r="A141" s="52">
        <f t="shared" si="2"/>
        <v>140</v>
      </c>
      <c r="B141" s="29" t="s">
        <v>188</v>
      </c>
      <c r="C141" s="13" t="s">
        <v>398</v>
      </c>
      <c r="D141" s="13" t="s">
        <v>1050</v>
      </c>
      <c r="E141" s="13" t="s">
        <v>92</v>
      </c>
      <c r="F141" s="18" t="s">
        <v>1024</v>
      </c>
      <c r="G141" s="13" t="s">
        <v>30</v>
      </c>
      <c r="H141" t="s">
        <v>1329</v>
      </c>
      <c r="P141" s="82"/>
    </row>
    <row r="142" spans="1:16" x14ac:dyDescent="0.25">
      <c r="A142" s="52">
        <f t="shared" si="2"/>
        <v>141</v>
      </c>
      <c r="B142" s="29" t="s">
        <v>188</v>
      </c>
      <c r="C142" s="13" t="s">
        <v>398</v>
      </c>
      <c r="D142" s="13" t="s">
        <v>1050</v>
      </c>
      <c r="E142" s="13" t="s">
        <v>141</v>
      </c>
      <c r="F142" s="18" t="s">
        <v>23</v>
      </c>
      <c r="G142" s="13" t="s">
        <v>30</v>
      </c>
      <c r="P142" s="82"/>
    </row>
    <row r="143" spans="1:16" x14ac:dyDescent="0.25">
      <c r="A143" s="52">
        <f t="shared" si="2"/>
        <v>142</v>
      </c>
      <c r="B143" s="29" t="s">
        <v>188</v>
      </c>
      <c r="C143" s="13" t="s">
        <v>398</v>
      </c>
      <c r="D143" s="13" t="s">
        <v>1050</v>
      </c>
      <c r="E143" s="13" t="s">
        <v>157</v>
      </c>
      <c r="F143" s="18" t="s">
        <v>1026</v>
      </c>
      <c r="G143" s="13" t="s">
        <v>30</v>
      </c>
      <c r="P143" s="82"/>
    </row>
    <row r="144" spans="1:16" x14ac:dyDescent="0.25">
      <c r="A144" s="52">
        <f t="shared" si="2"/>
        <v>143</v>
      </c>
      <c r="B144" s="29" t="s">
        <v>188</v>
      </c>
      <c r="C144" s="13" t="s">
        <v>398</v>
      </c>
      <c r="D144" s="13" t="s">
        <v>1050</v>
      </c>
      <c r="E144" s="13" t="s">
        <v>159</v>
      </c>
      <c r="F144" s="18" t="s">
        <v>1027</v>
      </c>
      <c r="G144" s="13" t="s">
        <v>30</v>
      </c>
      <c r="H144" t="s">
        <v>1330</v>
      </c>
    </row>
    <row r="145" spans="1:9" x14ac:dyDescent="0.25">
      <c r="A145" s="52">
        <f t="shared" si="2"/>
        <v>144</v>
      </c>
      <c r="B145" s="29" t="s">
        <v>188</v>
      </c>
      <c r="C145" s="13" t="s">
        <v>398</v>
      </c>
      <c r="D145" s="13" t="s">
        <v>1050</v>
      </c>
      <c r="E145" s="13" t="s">
        <v>161</v>
      </c>
      <c r="F145" s="18" t="s">
        <v>1052</v>
      </c>
      <c r="G145" s="13" t="s">
        <v>30</v>
      </c>
    </row>
    <row r="146" spans="1:9" x14ac:dyDescent="0.25">
      <c r="A146" s="52">
        <f t="shared" si="2"/>
        <v>145</v>
      </c>
      <c r="B146" s="29" t="s">
        <v>188</v>
      </c>
      <c r="C146" s="13" t="s">
        <v>398</v>
      </c>
      <c r="D146" s="13" t="s">
        <v>1050</v>
      </c>
      <c r="E146" s="13" t="s">
        <v>162</v>
      </c>
      <c r="F146" s="8" t="s">
        <v>61</v>
      </c>
      <c r="G146" s="13" t="s">
        <v>30</v>
      </c>
      <c r="H146" t="s">
        <v>1331</v>
      </c>
    </row>
    <row r="147" spans="1:9" x14ac:dyDescent="0.25">
      <c r="A147" s="52">
        <f t="shared" si="2"/>
        <v>146</v>
      </c>
      <c r="B147" s="29" t="s">
        <v>188</v>
      </c>
      <c r="C147" s="13" t="s">
        <v>398</v>
      </c>
      <c r="D147" s="13" t="s">
        <v>1050</v>
      </c>
      <c r="E147" s="13" t="s">
        <v>163</v>
      </c>
      <c r="F147" s="18" t="s">
        <v>62</v>
      </c>
      <c r="G147" s="3" t="s">
        <v>30</v>
      </c>
      <c r="H147" s="54" t="s">
        <v>1318</v>
      </c>
    </row>
    <row r="148" spans="1:9" x14ac:dyDescent="0.25">
      <c r="A148" s="52">
        <f t="shared" si="2"/>
        <v>147</v>
      </c>
      <c r="B148" s="29" t="s">
        <v>198</v>
      </c>
      <c r="C148" s="13" t="s">
        <v>399</v>
      </c>
      <c r="D148" s="13" t="s">
        <v>381</v>
      </c>
      <c r="E148" s="13" t="s">
        <v>0</v>
      </c>
      <c r="F148" s="18" t="s">
        <v>189</v>
      </c>
      <c r="G148" s="13" t="s">
        <v>889</v>
      </c>
      <c r="H148" s="53" t="s">
        <v>108</v>
      </c>
      <c r="I148" t="s">
        <v>108</v>
      </c>
    </row>
    <row r="149" spans="1:9" x14ac:dyDescent="0.25">
      <c r="A149" s="52">
        <f t="shared" si="2"/>
        <v>148</v>
      </c>
      <c r="B149" s="29" t="s">
        <v>198</v>
      </c>
      <c r="C149" s="13" t="s">
        <v>399</v>
      </c>
      <c r="D149" s="13" t="s">
        <v>381</v>
      </c>
      <c r="E149" s="13" t="s">
        <v>2</v>
      </c>
      <c r="F149" s="18" t="s">
        <v>18</v>
      </c>
      <c r="G149" s="13" t="s">
        <v>889</v>
      </c>
      <c r="H149" s="52" t="s">
        <v>109</v>
      </c>
      <c r="I149" t="s">
        <v>109</v>
      </c>
    </row>
    <row r="150" spans="1:9" x14ac:dyDescent="0.25">
      <c r="A150" s="52">
        <f t="shared" si="2"/>
        <v>149</v>
      </c>
      <c r="B150" s="29" t="s">
        <v>198</v>
      </c>
      <c r="C150" s="13" t="s">
        <v>399</v>
      </c>
      <c r="D150" s="13" t="s">
        <v>381</v>
      </c>
      <c r="E150" s="13" t="s">
        <v>3</v>
      </c>
      <c r="F150" s="18" t="s">
        <v>19</v>
      </c>
      <c r="G150" s="13" t="s">
        <v>889</v>
      </c>
      <c r="H150" s="52" t="s">
        <v>363</v>
      </c>
      <c r="I150" t="s">
        <v>363</v>
      </c>
    </row>
    <row r="151" spans="1:9" x14ac:dyDescent="0.25">
      <c r="A151" s="52">
        <f t="shared" si="2"/>
        <v>150</v>
      </c>
      <c r="B151" s="29" t="s">
        <v>198</v>
      </c>
      <c r="C151" s="13" t="s">
        <v>399</v>
      </c>
      <c r="D151" s="13" t="s">
        <v>381</v>
      </c>
      <c r="E151" s="13" t="s">
        <v>4</v>
      </c>
      <c r="F151" s="18" t="s">
        <v>20</v>
      </c>
      <c r="G151" s="13" t="s">
        <v>889</v>
      </c>
      <c r="H151" s="52" t="s">
        <v>110</v>
      </c>
      <c r="I151" t="s">
        <v>110</v>
      </c>
    </row>
    <row r="152" spans="1:9" x14ac:dyDescent="0.25">
      <c r="A152" s="52">
        <f t="shared" si="2"/>
        <v>151</v>
      </c>
      <c r="B152" s="29" t="s">
        <v>198</v>
      </c>
      <c r="C152" s="13" t="s">
        <v>399</v>
      </c>
      <c r="D152" s="13" t="s">
        <v>381</v>
      </c>
      <c r="E152" s="13" t="s">
        <v>5</v>
      </c>
      <c r="F152" s="18" t="s">
        <v>21</v>
      </c>
      <c r="G152" s="13" t="s">
        <v>889</v>
      </c>
      <c r="H152" s="52" t="s">
        <v>359</v>
      </c>
      <c r="I152" t="s">
        <v>359</v>
      </c>
    </row>
    <row r="153" spans="1:9" x14ac:dyDescent="0.25">
      <c r="A153" s="52">
        <f t="shared" si="2"/>
        <v>152</v>
      </c>
      <c r="B153" s="29" t="s">
        <v>198</v>
      </c>
      <c r="C153" s="13" t="s">
        <v>399</v>
      </c>
      <c r="D153" s="13" t="s">
        <v>381</v>
      </c>
      <c r="E153" s="13" t="s">
        <v>6</v>
      </c>
      <c r="F153" s="18" t="s">
        <v>22</v>
      </c>
      <c r="G153" s="13" t="s">
        <v>889</v>
      </c>
      <c r="H153" s="52" t="s">
        <v>1137</v>
      </c>
      <c r="I153" t="s">
        <v>364</v>
      </c>
    </row>
    <row r="154" spans="1:9" x14ac:dyDescent="0.25">
      <c r="A154" s="52">
        <f t="shared" si="2"/>
        <v>153</v>
      </c>
      <c r="B154" s="29" t="s">
        <v>198</v>
      </c>
      <c r="C154" s="13" t="s">
        <v>399</v>
      </c>
      <c r="D154" s="13" t="s">
        <v>381</v>
      </c>
      <c r="E154" s="13" t="s">
        <v>7</v>
      </c>
      <c r="F154" s="18" t="s">
        <v>23</v>
      </c>
      <c r="G154" s="13" t="s">
        <v>889</v>
      </c>
      <c r="H154" s="52" t="s">
        <v>360</v>
      </c>
      <c r="I154" t="s">
        <v>360</v>
      </c>
    </row>
    <row r="155" spans="1:9" x14ac:dyDescent="0.25">
      <c r="A155" s="52">
        <f t="shared" si="2"/>
        <v>154</v>
      </c>
      <c r="B155" s="29" t="s">
        <v>198</v>
      </c>
      <c r="C155" s="13" t="s">
        <v>399</v>
      </c>
      <c r="D155" s="13" t="s">
        <v>381</v>
      </c>
      <c r="E155" s="13" t="s">
        <v>8</v>
      </c>
      <c r="F155" s="18" t="s">
        <v>24</v>
      </c>
      <c r="G155" s="13" t="s">
        <v>889</v>
      </c>
      <c r="H155" s="52" t="s">
        <v>111</v>
      </c>
      <c r="I155" t="s">
        <v>111</v>
      </c>
    </row>
    <row r="156" spans="1:9" x14ac:dyDescent="0.25">
      <c r="A156" s="52">
        <f t="shared" si="2"/>
        <v>155</v>
      </c>
      <c r="B156" s="29" t="s">
        <v>198</v>
      </c>
      <c r="C156" s="13" t="s">
        <v>399</v>
      </c>
      <c r="D156" s="13" t="s">
        <v>381</v>
      </c>
      <c r="E156" s="13" t="s">
        <v>9</v>
      </c>
      <c r="F156" s="18" t="s">
        <v>25</v>
      </c>
      <c r="G156" s="13" t="s">
        <v>889</v>
      </c>
      <c r="H156" s="52" t="s">
        <v>400</v>
      </c>
      <c r="I156" t="s">
        <v>400</v>
      </c>
    </row>
    <row r="157" spans="1:9" x14ac:dyDescent="0.25">
      <c r="A157" s="52">
        <f t="shared" si="2"/>
        <v>156</v>
      </c>
      <c r="B157" s="29" t="s">
        <v>198</v>
      </c>
      <c r="C157" s="13" t="s">
        <v>399</v>
      </c>
      <c r="D157" s="13" t="s">
        <v>381</v>
      </c>
      <c r="E157" s="13" t="s">
        <v>10</v>
      </c>
      <c r="F157" s="18" t="s">
        <v>202</v>
      </c>
      <c r="G157" s="13" t="s">
        <v>889</v>
      </c>
      <c r="H157" s="52" t="s">
        <v>112</v>
      </c>
      <c r="I157" t="s">
        <v>112</v>
      </c>
    </row>
    <row r="158" spans="1:9" x14ac:dyDescent="0.25">
      <c r="A158" s="52">
        <f t="shared" si="2"/>
        <v>157</v>
      </c>
      <c r="B158" s="29" t="s">
        <v>198</v>
      </c>
      <c r="C158" s="13" t="s">
        <v>399</v>
      </c>
      <c r="D158" s="13" t="s">
        <v>381</v>
      </c>
      <c r="E158" s="13" t="s">
        <v>11</v>
      </c>
      <c r="F158" s="18" t="s">
        <v>255</v>
      </c>
      <c r="G158" s="13" t="s">
        <v>889</v>
      </c>
      <c r="H158" s="54" t="s">
        <v>361</v>
      </c>
      <c r="I158" t="s">
        <v>361</v>
      </c>
    </row>
    <row r="159" spans="1:9" x14ac:dyDescent="0.25">
      <c r="A159" s="52">
        <f t="shared" si="2"/>
        <v>158</v>
      </c>
      <c r="B159" s="29" t="s">
        <v>198</v>
      </c>
      <c r="C159" s="13" t="s">
        <v>399</v>
      </c>
      <c r="D159" s="13" t="s">
        <v>381</v>
      </c>
      <c r="E159" s="13" t="s">
        <v>190</v>
      </c>
      <c r="F159" s="18" t="s">
        <v>256</v>
      </c>
      <c r="G159" s="13" t="s">
        <v>889</v>
      </c>
      <c r="H159" s="54" t="s">
        <v>362</v>
      </c>
      <c r="I159" t="s">
        <v>362</v>
      </c>
    </row>
    <row r="160" spans="1:9" x14ac:dyDescent="0.25">
      <c r="A160" s="52">
        <f t="shared" si="2"/>
        <v>159</v>
      </c>
      <c r="B160" s="29" t="s">
        <v>198</v>
      </c>
      <c r="C160" s="13" t="s">
        <v>399</v>
      </c>
      <c r="D160" s="13" t="s">
        <v>381</v>
      </c>
      <c r="E160" s="2"/>
      <c r="F160" s="19" t="s">
        <v>29</v>
      </c>
      <c r="G160" s="13" t="s">
        <v>889</v>
      </c>
      <c r="H160" s="54" t="s">
        <v>132</v>
      </c>
    </row>
    <row r="161" spans="1:9" x14ac:dyDescent="0.25">
      <c r="A161" s="52">
        <f t="shared" si="2"/>
        <v>160</v>
      </c>
      <c r="B161" s="29" t="s">
        <v>198</v>
      </c>
      <c r="C161" s="13" t="s">
        <v>399</v>
      </c>
      <c r="D161" s="13" t="s">
        <v>382</v>
      </c>
      <c r="E161" s="13" t="s">
        <v>32</v>
      </c>
      <c r="F161" s="18" t="s">
        <v>191</v>
      </c>
      <c r="G161" s="13" t="s">
        <v>889</v>
      </c>
      <c r="H161" s="53" t="s">
        <v>108</v>
      </c>
      <c r="I161" t="s">
        <v>108</v>
      </c>
    </row>
    <row r="162" spans="1:9" x14ac:dyDescent="0.25">
      <c r="A162" s="52">
        <f t="shared" si="2"/>
        <v>161</v>
      </c>
      <c r="B162" s="29" t="s">
        <v>198</v>
      </c>
      <c r="C162" s="13" t="s">
        <v>399</v>
      </c>
      <c r="D162" s="13" t="s">
        <v>382</v>
      </c>
      <c r="E162" s="13" t="s">
        <v>33</v>
      </c>
      <c r="F162" s="18" t="s">
        <v>69</v>
      </c>
      <c r="G162" s="13" t="s">
        <v>889</v>
      </c>
      <c r="H162" s="53" t="s">
        <v>114</v>
      </c>
      <c r="I162" t="s">
        <v>114</v>
      </c>
    </row>
    <row r="163" spans="1:9" x14ac:dyDescent="0.25">
      <c r="A163" s="52">
        <f t="shared" si="2"/>
        <v>162</v>
      </c>
      <c r="B163" s="29" t="s">
        <v>198</v>
      </c>
      <c r="C163" s="13" t="s">
        <v>399</v>
      </c>
      <c r="D163" s="13" t="s">
        <v>382</v>
      </c>
      <c r="E163" s="13" t="s">
        <v>34</v>
      </c>
      <c r="F163" s="18" t="s">
        <v>152</v>
      </c>
      <c r="G163" s="13" t="s">
        <v>889</v>
      </c>
      <c r="H163" s="54" t="s">
        <v>401</v>
      </c>
      <c r="I163" t="s">
        <v>128</v>
      </c>
    </row>
    <row r="164" spans="1:9" x14ac:dyDescent="0.25">
      <c r="A164" s="52">
        <f t="shared" si="2"/>
        <v>163</v>
      </c>
      <c r="B164" s="29" t="s">
        <v>198</v>
      </c>
      <c r="C164" s="13" t="s">
        <v>399</v>
      </c>
      <c r="D164" s="13" t="s">
        <v>382</v>
      </c>
      <c r="E164" s="13" t="s">
        <v>35</v>
      </c>
      <c r="F164" s="18" t="s">
        <v>205</v>
      </c>
      <c r="G164" s="13" t="s">
        <v>889</v>
      </c>
      <c r="H164" s="52" t="s">
        <v>368</v>
      </c>
      <c r="I164" t="s">
        <v>367</v>
      </c>
    </row>
    <row r="165" spans="1:9" x14ac:dyDescent="0.25">
      <c r="A165" s="52">
        <f t="shared" si="2"/>
        <v>164</v>
      </c>
      <c r="B165" s="29" t="s">
        <v>198</v>
      </c>
      <c r="C165" s="13" t="s">
        <v>399</v>
      </c>
      <c r="D165" s="13" t="s">
        <v>382</v>
      </c>
      <c r="E165" s="13" t="s">
        <v>36</v>
      </c>
      <c r="F165" s="18" t="s">
        <v>52</v>
      </c>
      <c r="G165" s="13" t="s">
        <v>889</v>
      </c>
      <c r="H165" s="52" t="s">
        <v>883</v>
      </c>
      <c r="I165" t="s">
        <v>124</v>
      </c>
    </row>
    <row r="166" spans="1:9" x14ac:dyDescent="0.25">
      <c r="A166" s="52">
        <f t="shared" si="2"/>
        <v>165</v>
      </c>
      <c r="B166" s="29" t="s">
        <v>198</v>
      </c>
      <c r="C166" s="13" t="s">
        <v>399</v>
      </c>
      <c r="D166" s="13" t="s">
        <v>382</v>
      </c>
      <c r="E166" s="13" t="s">
        <v>37</v>
      </c>
      <c r="F166" s="18" t="s">
        <v>53</v>
      </c>
      <c r="G166" s="13" t="s">
        <v>889</v>
      </c>
      <c r="H166" s="52" t="s">
        <v>400</v>
      </c>
      <c r="I166" t="s">
        <v>400</v>
      </c>
    </row>
    <row r="167" spans="1:9" x14ac:dyDescent="0.25">
      <c r="A167" s="52">
        <f t="shared" si="2"/>
        <v>166</v>
      </c>
      <c r="B167" s="29" t="s">
        <v>198</v>
      </c>
      <c r="C167" s="13" t="s">
        <v>399</v>
      </c>
      <c r="D167" s="13" t="s">
        <v>382</v>
      </c>
      <c r="E167" s="13" t="s">
        <v>38</v>
      </c>
      <c r="F167" s="18" t="s">
        <v>54</v>
      </c>
      <c r="G167" s="13" t="s">
        <v>889</v>
      </c>
      <c r="H167" s="52" t="s">
        <v>403</v>
      </c>
      <c r="I167" t="s">
        <v>403</v>
      </c>
    </row>
    <row r="168" spans="1:9" x14ac:dyDescent="0.25">
      <c r="A168" s="52">
        <f t="shared" si="2"/>
        <v>167</v>
      </c>
      <c r="B168" s="29" t="s">
        <v>198</v>
      </c>
      <c r="C168" s="13" t="s">
        <v>399</v>
      </c>
      <c r="D168" s="13" t="s">
        <v>382</v>
      </c>
      <c r="E168" s="13" t="s">
        <v>40</v>
      </c>
      <c r="F168" s="18" t="s">
        <v>56</v>
      </c>
      <c r="G168" s="13" t="s">
        <v>889</v>
      </c>
      <c r="H168" s="54" t="s">
        <v>846</v>
      </c>
      <c r="I168" t="s">
        <v>118</v>
      </c>
    </row>
    <row r="169" spans="1:9" x14ac:dyDescent="0.25">
      <c r="A169" s="52">
        <f t="shared" si="2"/>
        <v>168</v>
      </c>
      <c r="B169" s="29" t="s">
        <v>198</v>
      </c>
      <c r="C169" s="13" t="s">
        <v>399</v>
      </c>
      <c r="D169" s="13" t="s">
        <v>382</v>
      </c>
      <c r="E169" s="13" t="s">
        <v>41</v>
      </c>
      <c r="F169" s="18" t="s">
        <v>55</v>
      </c>
      <c r="G169" s="13" t="s">
        <v>889</v>
      </c>
      <c r="H169" s="52" t="s">
        <v>117</v>
      </c>
      <c r="I169" t="s">
        <v>117</v>
      </c>
    </row>
    <row r="170" spans="1:9" x14ac:dyDescent="0.25">
      <c r="A170" s="52">
        <f t="shared" si="2"/>
        <v>169</v>
      </c>
      <c r="B170" s="29" t="s">
        <v>198</v>
      </c>
      <c r="C170" s="13" t="s">
        <v>399</v>
      </c>
      <c r="D170" s="13" t="s">
        <v>382</v>
      </c>
      <c r="E170" s="13" t="s">
        <v>192</v>
      </c>
      <c r="F170" s="18" t="s">
        <v>57</v>
      </c>
      <c r="G170" s="13" t="s">
        <v>889</v>
      </c>
      <c r="H170" s="54" t="s">
        <v>898</v>
      </c>
    </row>
    <row r="171" spans="1:9" x14ac:dyDescent="0.25">
      <c r="A171" s="52">
        <f t="shared" si="2"/>
        <v>170</v>
      </c>
      <c r="B171" s="29" t="s">
        <v>198</v>
      </c>
      <c r="C171" s="13" t="s">
        <v>399</v>
      </c>
      <c r="D171" s="13" t="s">
        <v>382</v>
      </c>
      <c r="E171" s="13" t="s">
        <v>42</v>
      </c>
      <c r="F171" s="18" t="s">
        <v>58</v>
      </c>
      <c r="G171" s="13" t="s">
        <v>889</v>
      </c>
      <c r="H171" s="52" t="s">
        <v>119</v>
      </c>
      <c r="I171" t="s">
        <v>119</v>
      </c>
    </row>
    <row r="172" spans="1:9" x14ac:dyDescent="0.25">
      <c r="A172" s="52">
        <f t="shared" si="2"/>
        <v>171</v>
      </c>
      <c r="B172" s="29" t="s">
        <v>198</v>
      </c>
      <c r="C172" s="13" t="s">
        <v>399</v>
      </c>
      <c r="D172" s="13" t="s">
        <v>382</v>
      </c>
      <c r="E172" s="13" t="s">
        <v>43</v>
      </c>
      <c r="F172" s="18" t="s">
        <v>59</v>
      </c>
      <c r="G172" s="13" t="s">
        <v>889</v>
      </c>
      <c r="H172" s="52" t="s">
        <v>120</v>
      </c>
      <c r="I172" t="s">
        <v>120</v>
      </c>
    </row>
    <row r="173" spans="1:9" x14ac:dyDescent="0.25">
      <c r="A173" s="52">
        <f t="shared" si="2"/>
        <v>172</v>
      </c>
      <c r="B173" s="29" t="s">
        <v>198</v>
      </c>
      <c r="C173" s="13" t="s">
        <v>399</v>
      </c>
      <c r="D173" s="13" t="s">
        <v>382</v>
      </c>
      <c r="E173" s="13" t="s">
        <v>44</v>
      </c>
      <c r="F173" s="18" t="s">
        <v>60</v>
      </c>
      <c r="G173" s="13" t="s">
        <v>889</v>
      </c>
      <c r="H173" s="52" t="s">
        <v>404</v>
      </c>
      <c r="I173" t="s">
        <v>404</v>
      </c>
    </row>
    <row r="174" spans="1:9" x14ac:dyDescent="0.25">
      <c r="A174" s="52">
        <f t="shared" si="2"/>
        <v>173</v>
      </c>
      <c r="B174" s="29" t="s">
        <v>198</v>
      </c>
      <c r="C174" s="13" t="s">
        <v>399</v>
      </c>
      <c r="D174" s="13" t="s">
        <v>382</v>
      </c>
      <c r="E174" s="13" t="s">
        <v>45</v>
      </c>
      <c r="F174" s="18" t="s">
        <v>61</v>
      </c>
      <c r="G174" s="13" t="s">
        <v>889</v>
      </c>
      <c r="H174" s="54" t="s">
        <v>129</v>
      </c>
      <c r="I174" t="s">
        <v>129</v>
      </c>
    </row>
    <row r="175" spans="1:9" x14ac:dyDescent="0.25">
      <c r="A175" s="52">
        <f t="shared" si="2"/>
        <v>174</v>
      </c>
      <c r="B175" s="29" t="s">
        <v>198</v>
      </c>
      <c r="C175" s="13" t="s">
        <v>399</v>
      </c>
      <c r="D175" s="13" t="s">
        <v>382</v>
      </c>
      <c r="E175" s="13" t="s">
        <v>46</v>
      </c>
      <c r="F175" s="18" t="s">
        <v>62</v>
      </c>
      <c r="G175" s="13" t="s">
        <v>889</v>
      </c>
      <c r="H175" s="54" t="s">
        <v>122</v>
      </c>
      <c r="I175" t="s">
        <v>122</v>
      </c>
    </row>
    <row r="176" spans="1:9" x14ac:dyDescent="0.25">
      <c r="A176" s="52">
        <f t="shared" si="2"/>
        <v>175</v>
      </c>
      <c r="B176" s="29" t="s">
        <v>198</v>
      </c>
      <c r="C176" s="13" t="s">
        <v>399</v>
      </c>
      <c r="D176" s="13" t="s">
        <v>382</v>
      </c>
      <c r="E176" s="13" t="s">
        <v>47</v>
      </c>
      <c r="F176" s="18" t="s">
        <v>63</v>
      </c>
      <c r="G176" s="13" t="s">
        <v>889</v>
      </c>
      <c r="H176" s="52" t="s">
        <v>1137</v>
      </c>
      <c r="I176" t="s">
        <v>364</v>
      </c>
    </row>
    <row r="177" spans="1:9" x14ac:dyDescent="0.25">
      <c r="A177" s="52">
        <f t="shared" si="2"/>
        <v>176</v>
      </c>
      <c r="B177" s="29" t="s">
        <v>198</v>
      </c>
      <c r="C177" s="13" t="s">
        <v>399</v>
      </c>
      <c r="D177" s="13" t="s">
        <v>382</v>
      </c>
      <c r="E177" s="13" t="s">
        <v>48</v>
      </c>
      <c r="F177" s="18" t="s">
        <v>64</v>
      </c>
      <c r="G177" s="13" t="s">
        <v>889</v>
      </c>
      <c r="H177" s="52" t="s">
        <v>123</v>
      </c>
      <c r="I177" t="s">
        <v>123</v>
      </c>
    </row>
    <row r="178" spans="1:9" x14ac:dyDescent="0.25">
      <c r="A178" s="52">
        <f t="shared" si="2"/>
        <v>177</v>
      </c>
      <c r="B178" s="29" t="s">
        <v>198</v>
      </c>
      <c r="C178" s="13" t="s">
        <v>399</v>
      </c>
      <c r="D178" s="13" t="s">
        <v>382</v>
      </c>
      <c r="E178" s="13" t="s">
        <v>49</v>
      </c>
      <c r="F178" s="18" t="s">
        <v>65</v>
      </c>
      <c r="G178" s="13" t="s">
        <v>889</v>
      </c>
      <c r="H178" s="54">
        <v>0</v>
      </c>
    </row>
    <row r="179" spans="1:9" x14ac:dyDescent="0.25">
      <c r="A179" s="52">
        <f t="shared" si="2"/>
        <v>178</v>
      </c>
      <c r="B179" s="29" t="s">
        <v>198</v>
      </c>
      <c r="C179" s="13" t="s">
        <v>399</v>
      </c>
      <c r="D179" s="13" t="s">
        <v>382</v>
      </c>
      <c r="E179" s="13" t="s">
        <v>50</v>
      </c>
      <c r="F179" s="18" t="s">
        <v>66</v>
      </c>
      <c r="G179" s="13" t="s">
        <v>889</v>
      </c>
      <c r="H179" s="52" t="s">
        <v>883</v>
      </c>
      <c r="I179" t="s">
        <v>124</v>
      </c>
    </row>
    <row r="180" spans="1:9" x14ac:dyDescent="0.25">
      <c r="A180" s="52">
        <f t="shared" si="2"/>
        <v>179</v>
      </c>
      <c r="B180" s="29" t="s">
        <v>198</v>
      </c>
      <c r="C180" s="13" t="s">
        <v>399</v>
      </c>
      <c r="D180" s="13" t="s">
        <v>382</v>
      </c>
      <c r="E180" s="2"/>
      <c r="F180" s="19" t="s">
        <v>29</v>
      </c>
      <c r="G180" s="13" t="s">
        <v>889</v>
      </c>
      <c r="H180" s="54" t="s">
        <v>132</v>
      </c>
    </row>
    <row r="181" spans="1:9" x14ac:dyDescent="0.25">
      <c r="A181" s="52">
        <f t="shared" si="2"/>
        <v>180</v>
      </c>
      <c r="B181" s="29" t="s">
        <v>198</v>
      </c>
      <c r="C181" s="13" t="s">
        <v>399</v>
      </c>
      <c r="D181" s="13" t="s">
        <v>383</v>
      </c>
      <c r="E181" s="13" t="s">
        <v>0</v>
      </c>
      <c r="F181" s="18" t="s">
        <v>191</v>
      </c>
      <c r="G181" s="13" t="s">
        <v>889</v>
      </c>
      <c r="H181" s="53" t="s">
        <v>108</v>
      </c>
      <c r="I181" t="s">
        <v>108</v>
      </c>
    </row>
    <row r="182" spans="1:9" x14ac:dyDescent="0.25">
      <c r="A182" s="52">
        <f t="shared" si="2"/>
        <v>181</v>
      </c>
      <c r="B182" s="29" t="s">
        <v>198</v>
      </c>
      <c r="C182" s="13" t="s">
        <v>399</v>
      </c>
      <c r="D182" s="13" t="s">
        <v>383</v>
      </c>
      <c r="E182" s="13" t="s">
        <v>33</v>
      </c>
      <c r="F182" s="18" t="s">
        <v>69</v>
      </c>
      <c r="G182" s="13" t="s">
        <v>889</v>
      </c>
      <c r="H182" s="53" t="s">
        <v>114</v>
      </c>
      <c r="I182" t="s">
        <v>114</v>
      </c>
    </row>
    <row r="183" spans="1:9" x14ac:dyDescent="0.25">
      <c r="A183" s="52">
        <f t="shared" si="2"/>
        <v>182</v>
      </c>
      <c r="B183" s="29" t="s">
        <v>198</v>
      </c>
      <c r="C183" s="13" t="s">
        <v>399</v>
      </c>
      <c r="D183" s="13" t="s">
        <v>383</v>
      </c>
      <c r="E183" s="13" t="s">
        <v>70</v>
      </c>
      <c r="F183" s="18" t="s">
        <v>71</v>
      </c>
      <c r="G183" s="13" t="s">
        <v>889</v>
      </c>
      <c r="H183" s="52" t="s">
        <v>131</v>
      </c>
      <c r="I183" t="s">
        <v>131</v>
      </c>
    </row>
    <row r="184" spans="1:9" x14ac:dyDescent="0.25">
      <c r="A184" s="52">
        <f t="shared" si="2"/>
        <v>183</v>
      </c>
      <c r="B184" s="29" t="s">
        <v>198</v>
      </c>
      <c r="C184" s="13" t="s">
        <v>399</v>
      </c>
      <c r="D184" s="13" t="s">
        <v>383</v>
      </c>
      <c r="E184" s="13" t="s">
        <v>72</v>
      </c>
      <c r="F184" s="18" t="s">
        <v>73</v>
      </c>
      <c r="G184" s="13" t="s">
        <v>889</v>
      </c>
      <c r="H184" s="54" t="s">
        <v>126</v>
      </c>
      <c r="I184" t="s">
        <v>126</v>
      </c>
    </row>
    <row r="185" spans="1:9" x14ac:dyDescent="0.25">
      <c r="A185" s="52">
        <f t="shared" si="2"/>
        <v>184</v>
      </c>
      <c r="B185" s="29" t="s">
        <v>198</v>
      </c>
      <c r="C185" s="13" t="s">
        <v>399</v>
      </c>
      <c r="D185" s="13" t="s">
        <v>383</v>
      </c>
      <c r="E185" s="13" t="s">
        <v>74</v>
      </c>
      <c r="F185" s="18" t="s">
        <v>193</v>
      </c>
      <c r="G185" s="13" t="s">
        <v>889</v>
      </c>
      <c r="H185" s="54" t="s">
        <v>913</v>
      </c>
      <c r="I185" t="s">
        <v>131</v>
      </c>
    </row>
    <row r="186" spans="1:9" x14ac:dyDescent="0.25">
      <c r="A186" s="52">
        <f t="shared" si="2"/>
        <v>185</v>
      </c>
      <c r="B186" s="29" t="s">
        <v>198</v>
      </c>
      <c r="C186" s="13" t="s">
        <v>399</v>
      </c>
      <c r="D186" s="13" t="s">
        <v>383</v>
      </c>
      <c r="E186" s="13" t="s">
        <v>76</v>
      </c>
      <c r="F186" s="18" t="s">
        <v>194</v>
      </c>
      <c r="G186" s="13" t="s">
        <v>889</v>
      </c>
      <c r="H186" s="52" t="s">
        <v>393</v>
      </c>
      <c r="I186" t="s">
        <v>393</v>
      </c>
    </row>
    <row r="187" spans="1:9" x14ac:dyDescent="0.25">
      <c r="A187" s="52">
        <f t="shared" si="2"/>
        <v>186</v>
      </c>
      <c r="B187" s="29" t="s">
        <v>198</v>
      </c>
      <c r="C187" s="13" t="s">
        <v>399</v>
      </c>
      <c r="D187" s="13" t="s">
        <v>383</v>
      </c>
      <c r="E187" s="13" t="s">
        <v>77</v>
      </c>
      <c r="F187" s="18" t="s">
        <v>195</v>
      </c>
      <c r="G187" s="13" t="s">
        <v>889</v>
      </c>
      <c r="H187" s="52" t="s">
        <v>395</v>
      </c>
      <c r="I187" t="s">
        <v>394</v>
      </c>
    </row>
    <row r="188" spans="1:9" x14ac:dyDescent="0.25">
      <c r="A188" s="52">
        <f t="shared" si="2"/>
        <v>187</v>
      </c>
      <c r="B188" s="29" t="s">
        <v>198</v>
      </c>
      <c r="C188" s="13" t="s">
        <v>399</v>
      </c>
      <c r="D188" s="13" t="s">
        <v>383</v>
      </c>
      <c r="E188" s="13" t="s">
        <v>78</v>
      </c>
      <c r="F188" s="18" t="s">
        <v>196</v>
      </c>
      <c r="G188" s="13" t="s">
        <v>889</v>
      </c>
      <c r="H188" s="52" t="s">
        <v>1130</v>
      </c>
      <c r="I188" t="s">
        <v>126</v>
      </c>
    </row>
    <row r="189" spans="1:9" x14ac:dyDescent="0.25">
      <c r="A189" s="52">
        <f t="shared" si="2"/>
        <v>188</v>
      </c>
      <c r="B189" s="29" t="s">
        <v>198</v>
      </c>
      <c r="C189" s="13" t="s">
        <v>399</v>
      </c>
      <c r="D189" s="13" t="s">
        <v>384</v>
      </c>
      <c r="E189" s="13" t="s">
        <v>32</v>
      </c>
      <c r="F189" s="18" t="s">
        <v>191</v>
      </c>
      <c r="G189" s="13" t="s">
        <v>889</v>
      </c>
      <c r="H189" s="54" t="s">
        <v>130</v>
      </c>
    </row>
    <row r="190" spans="1:9" x14ac:dyDescent="0.25">
      <c r="A190" s="52">
        <f t="shared" si="2"/>
        <v>189</v>
      </c>
      <c r="B190" s="29" t="s">
        <v>198</v>
      </c>
      <c r="C190" s="13" t="s">
        <v>399</v>
      </c>
      <c r="D190" s="13" t="s">
        <v>384</v>
      </c>
      <c r="E190" s="13" t="s">
        <v>33</v>
      </c>
      <c r="F190" s="18" t="s">
        <v>69</v>
      </c>
      <c r="G190" s="13" t="s">
        <v>889</v>
      </c>
      <c r="H190" s="54" t="s">
        <v>114</v>
      </c>
    </row>
    <row r="191" spans="1:9" x14ac:dyDescent="0.25">
      <c r="A191" s="52">
        <f t="shared" si="2"/>
        <v>190</v>
      </c>
      <c r="B191" s="29" t="s">
        <v>198</v>
      </c>
      <c r="C191" s="13" t="s">
        <v>399</v>
      </c>
      <c r="D191" s="13" t="s">
        <v>384</v>
      </c>
      <c r="E191" s="13" t="s">
        <v>197</v>
      </c>
      <c r="F191" s="18" t="s">
        <v>182</v>
      </c>
      <c r="G191" s="13" t="s">
        <v>889</v>
      </c>
      <c r="H191" t="s">
        <v>1123</v>
      </c>
    </row>
    <row r="192" spans="1:9" x14ac:dyDescent="0.25">
      <c r="A192" s="52">
        <f t="shared" si="2"/>
        <v>191</v>
      </c>
      <c r="B192" s="29" t="s">
        <v>198</v>
      </c>
      <c r="C192" s="13" t="s">
        <v>399</v>
      </c>
      <c r="D192" s="13" t="s">
        <v>402</v>
      </c>
      <c r="E192" s="13" t="s">
        <v>32</v>
      </c>
      <c r="F192" s="18" t="s">
        <v>191</v>
      </c>
      <c r="G192" s="13" t="s">
        <v>889</v>
      </c>
      <c r="H192" s="53" t="s">
        <v>108</v>
      </c>
    </row>
    <row r="193" spans="1:9" x14ac:dyDescent="0.25">
      <c r="A193" s="52">
        <f t="shared" si="2"/>
        <v>192</v>
      </c>
      <c r="B193" s="29" t="s">
        <v>198</v>
      </c>
      <c r="C193" s="13" t="s">
        <v>399</v>
      </c>
      <c r="D193" s="13" t="s">
        <v>402</v>
      </c>
      <c r="E193" s="13" t="s">
        <v>33</v>
      </c>
      <c r="F193" s="18" t="s">
        <v>69</v>
      </c>
      <c r="G193" s="13" t="s">
        <v>889</v>
      </c>
      <c r="H193" s="54" t="s">
        <v>114</v>
      </c>
    </row>
    <row r="194" spans="1:9" x14ac:dyDescent="0.25">
      <c r="A194" s="52">
        <f t="shared" si="2"/>
        <v>193</v>
      </c>
      <c r="B194" s="29" t="s">
        <v>198</v>
      </c>
      <c r="C194" s="13" t="s">
        <v>399</v>
      </c>
      <c r="D194" s="13" t="s">
        <v>402</v>
      </c>
      <c r="E194" s="13" t="s">
        <v>85</v>
      </c>
      <c r="F194" s="18" t="s">
        <v>88</v>
      </c>
      <c r="G194" s="13" t="s">
        <v>889</v>
      </c>
    </row>
    <row r="195" spans="1:9" x14ac:dyDescent="0.25">
      <c r="A195" s="52">
        <f t="shared" si="2"/>
        <v>194</v>
      </c>
      <c r="B195" s="29" t="s">
        <v>198</v>
      </c>
      <c r="C195" s="13" t="s">
        <v>399</v>
      </c>
      <c r="D195" s="13" t="s">
        <v>402</v>
      </c>
      <c r="E195" s="13" t="s">
        <v>86</v>
      </c>
      <c r="F195" s="18" t="s">
        <v>89</v>
      </c>
      <c r="G195" s="13" t="s">
        <v>889</v>
      </c>
    </row>
    <row r="196" spans="1:9" x14ac:dyDescent="0.25">
      <c r="A196" s="52">
        <f t="shared" ref="A196:A259" si="3">+A195+1</f>
        <v>195</v>
      </c>
      <c r="B196" s="29" t="s">
        <v>198</v>
      </c>
      <c r="C196" s="13" t="s">
        <v>399</v>
      </c>
      <c r="D196" s="13" t="s">
        <v>402</v>
      </c>
      <c r="E196" s="13" t="s">
        <v>87</v>
      </c>
      <c r="F196" s="18" t="s">
        <v>90</v>
      </c>
      <c r="G196" s="13" t="s">
        <v>889</v>
      </c>
    </row>
    <row r="197" spans="1:9" x14ac:dyDescent="0.25">
      <c r="A197" s="52">
        <f t="shared" si="3"/>
        <v>196</v>
      </c>
      <c r="B197" s="29" t="s">
        <v>198</v>
      </c>
      <c r="C197" s="13" t="s">
        <v>399</v>
      </c>
      <c r="D197" s="13" t="s">
        <v>1023</v>
      </c>
      <c r="E197" s="13" t="s">
        <v>0</v>
      </c>
      <c r="F197" s="18" t="s">
        <v>191</v>
      </c>
      <c r="G197" s="13" t="s">
        <v>889</v>
      </c>
      <c r="H197" s="53" t="s">
        <v>108</v>
      </c>
    </row>
    <row r="198" spans="1:9" x14ac:dyDescent="0.25">
      <c r="A198" s="52">
        <f t="shared" si="3"/>
        <v>197</v>
      </c>
      <c r="B198" s="29" t="s">
        <v>198</v>
      </c>
      <c r="C198" s="13" t="s">
        <v>399</v>
      </c>
      <c r="D198" s="13" t="s">
        <v>1023</v>
      </c>
      <c r="E198" s="13" t="s">
        <v>33</v>
      </c>
      <c r="F198" s="18" t="s">
        <v>69</v>
      </c>
      <c r="G198" s="13" t="s">
        <v>889</v>
      </c>
      <c r="H198" s="54" t="s">
        <v>114</v>
      </c>
    </row>
    <row r="199" spans="1:9" x14ac:dyDescent="0.25">
      <c r="A199" s="52">
        <f t="shared" si="3"/>
        <v>198</v>
      </c>
      <c r="B199" s="29" t="s">
        <v>198</v>
      </c>
      <c r="C199" s="13" t="s">
        <v>399</v>
      </c>
      <c r="D199" s="13" t="s">
        <v>1023</v>
      </c>
      <c r="E199" s="13" t="s">
        <v>0</v>
      </c>
      <c r="F199" s="18" t="s">
        <v>1025</v>
      </c>
      <c r="G199" s="13" t="s">
        <v>889</v>
      </c>
      <c r="H199" t="s">
        <v>1332</v>
      </c>
    </row>
    <row r="200" spans="1:9" x14ac:dyDescent="0.25">
      <c r="A200" s="52">
        <f t="shared" si="3"/>
        <v>199</v>
      </c>
      <c r="B200" s="29" t="s">
        <v>198</v>
      </c>
      <c r="C200" s="13" t="s">
        <v>399</v>
      </c>
      <c r="D200" s="13" t="s">
        <v>1023</v>
      </c>
      <c r="E200" s="13" t="s">
        <v>33</v>
      </c>
      <c r="F200" s="18" t="s">
        <v>1024</v>
      </c>
      <c r="G200" s="13" t="s">
        <v>889</v>
      </c>
      <c r="H200" t="s">
        <v>1329</v>
      </c>
    </row>
    <row r="201" spans="1:9" x14ac:dyDescent="0.25">
      <c r="A201" s="52">
        <f t="shared" si="3"/>
        <v>200</v>
      </c>
      <c r="B201" s="29" t="s">
        <v>198</v>
      </c>
      <c r="C201" s="13" t="s">
        <v>399</v>
      </c>
      <c r="D201" s="13" t="s">
        <v>1023</v>
      </c>
      <c r="E201" s="13" t="s">
        <v>7</v>
      </c>
      <c r="F201" s="18" t="s">
        <v>23</v>
      </c>
      <c r="G201" s="13" t="s">
        <v>889</v>
      </c>
    </row>
    <row r="202" spans="1:9" x14ac:dyDescent="0.25">
      <c r="A202" s="52">
        <f t="shared" si="3"/>
        <v>201</v>
      </c>
      <c r="B202" s="29" t="s">
        <v>198</v>
      </c>
      <c r="C202" s="13" t="s">
        <v>399</v>
      </c>
      <c r="D202" s="13" t="s">
        <v>1023</v>
      </c>
      <c r="E202" s="13" t="s">
        <v>40</v>
      </c>
      <c r="F202" s="18" t="s">
        <v>1026</v>
      </c>
      <c r="G202" s="13" t="s">
        <v>889</v>
      </c>
    </row>
    <row r="203" spans="1:9" x14ac:dyDescent="0.25">
      <c r="A203" s="52">
        <f t="shared" si="3"/>
        <v>202</v>
      </c>
      <c r="B203" s="29" t="s">
        <v>198</v>
      </c>
      <c r="C203" s="13" t="s">
        <v>399</v>
      </c>
      <c r="D203" s="13" t="s">
        <v>1023</v>
      </c>
      <c r="E203" s="13" t="s">
        <v>42</v>
      </c>
      <c r="F203" s="18" t="s">
        <v>1027</v>
      </c>
      <c r="G203" s="13" t="s">
        <v>889</v>
      </c>
      <c r="H203" t="s">
        <v>1330</v>
      </c>
    </row>
    <row r="204" spans="1:9" x14ac:dyDescent="0.25">
      <c r="A204" s="52">
        <f t="shared" si="3"/>
        <v>203</v>
      </c>
      <c r="B204" s="29" t="s">
        <v>198</v>
      </c>
      <c r="C204" s="13" t="s">
        <v>399</v>
      </c>
      <c r="D204" s="13" t="s">
        <v>1023</v>
      </c>
      <c r="E204" s="13" t="s">
        <v>45</v>
      </c>
      <c r="F204" s="8" t="s">
        <v>61</v>
      </c>
      <c r="G204" s="13" t="s">
        <v>889</v>
      </c>
      <c r="H204" t="s">
        <v>1331</v>
      </c>
    </row>
    <row r="205" spans="1:9" x14ac:dyDescent="0.25">
      <c r="A205" s="52">
        <f t="shared" si="3"/>
        <v>204</v>
      </c>
      <c r="B205" s="29" t="s">
        <v>198</v>
      </c>
      <c r="C205" s="13" t="s">
        <v>399</v>
      </c>
      <c r="D205" s="13" t="s">
        <v>1023</v>
      </c>
      <c r="E205" s="13" t="s">
        <v>1028</v>
      </c>
      <c r="F205" s="18" t="s">
        <v>62</v>
      </c>
      <c r="G205" s="13" t="s">
        <v>889</v>
      </c>
      <c r="H205" s="54" t="s">
        <v>1318</v>
      </c>
    </row>
    <row r="206" spans="1:9" x14ac:dyDescent="0.25">
      <c r="A206" s="52">
        <f t="shared" si="3"/>
        <v>205</v>
      </c>
      <c r="B206" s="29" t="s">
        <v>198</v>
      </c>
      <c r="C206" s="13" t="s">
        <v>399</v>
      </c>
      <c r="D206" s="13" t="s">
        <v>1023</v>
      </c>
      <c r="E206" s="13" t="s">
        <v>1029</v>
      </c>
      <c r="F206" s="18" t="s">
        <v>1031</v>
      </c>
      <c r="G206" s="13" t="s">
        <v>889</v>
      </c>
    </row>
    <row r="207" spans="1:9" s="49" customFormat="1" x14ac:dyDescent="0.25">
      <c r="A207" s="52">
        <f t="shared" si="3"/>
        <v>206</v>
      </c>
      <c r="B207" s="29" t="s">
        <v>902</v>
      </c>
      <c r="C207" s="2" t="s">
        <v>905</v>
      </c>
      <c r="D207" s="13" t="s">
        <v>906</v>
      </c>
      <c r="E207" s="2" t="s">
        <v>259</v>
      </c>
      <c r="F207" s="19" t="s">
        <v>199</v>
      </c>
      <c r="G207" s="2" t="s">
        <v>30</v>
      </c>
      <c r="H207" s="53" t="s">
        <v>108</v>
      </c>
      <c r="I207" s="49" t="s">
        <v>108</v>
      </c>
    </row>
    <row r="208" spans="1:9" s="49" customFormat="1" x14ac:dyDescent="0.25">
      <c r="A208" s="52">
        <f t="shared" si="3"/>
        <v>207</v>
      </c>
      <c r="B208" s="29" t="s">
        <v>902</v>
      </c>
      <c r="C208" s="2" t="s">
        <v>905</v>
      </c>
      <c r="D208" s="13" t="s">
        <v>906</v>
      </c>
      <c r="E208" s="2" t="s">
        <v>261</v>
      </c>
      <c r="F208" s="19" t="s">
        <v>200</v>
      </c>
      <c r="G208" s="2" t="s">
        <v>30</v>
      </c>
      <c r="H208" s="53" t="s">
        <v>897</v>
      </c>
      <c r="I208" s="49" t="s">
        <v>385</v>
      </c>
    </row>
    <row r="209" spans="1:9" s="49" customFormat="1" x14ac:dyDescent="0.25">
      <c r="A209" s="52">
        <f t="shared" si="3"/>
        <v>208</v>
      </c>
      <c r="B209" s="29" t="s">
        <v>902</v>
      </c>
      <c r="C209" s="2" t="s">
        <v>905</v>
      </c>
      <c r="D209" s="13" t="s">
        <v>906</v>
      </c>
      <c r="E209" s="2" t="s">
        <v>262</v>
      </c>
      <c r="F209" s="50" t="s">
        <v>894</v>
      </c>
      <c r="G209" s="2" t="s">
        <v>30</v>
      </c>
      <c r="H209" s="54" t="s">
        <v>895</v>
      </c>
      <c r="I209" s="51"/>
    </row>
    <row r="210" spans="1:9" s="49" customFormat="1" x14ac:dyDescent="0.25">
      <c r="A210" s="52">
        <f t="shared" si="3"/>
        <v>209</v>
      </c>
      <c r="B210" s="29" t="s">
        <v>902</v>
      </c>
      <c r="C210" s="2" t="s">
        <v>905</v>
      </c>
      <c r="D210" s="13" t="s">
        <v>906</v>
      </c>
      <c r="E210" s="2" t="s">
        <v>264</v>
      </c>
      <c r="F210" s="19" t="s">
        <v>20</v>
      </c>
      <c r="G210" s="2" t="s">
        <v>30</v>
      </c>
      <c r="H210" s="52" t="s">
        <v>110</v>
      </c>
      <c r="I210" s="49" t="s">
        <v>363</v>
      </c>
    </row>
    <row r="211" spans="1:9" s="49" customFormat="1" x14ac:dyDescent="0.25">
      <c r="A211" s="52">
        <f t="shared" si="3"/>
        <v>210</v>
      </c>
      <c r="B211" s="29" t="s">
        <v>902</v>
      </c>
      <c r="C211" s="2" t="s">
        <v>905</v>
      </c>
      <c r="D211" s="13" t="s">
        <v>906</v>
      </c>
      <c r="E211" s="2" t="s">
        <v>266</v>
      </c>
      <c r="F211" s="19" t="s">
        <v>22</v>
      </c>
      <c r="G211" s="2" t="s">
        <v>30</v>
      </c>
      <c r="H211" s="52" t="s">
        <v>1137</v>
      </c>
      <c r="I211" s="49" t="s">
        <v>110</v>
      </c>
    </row>
    <row r="212" spans="1:9" s="49" customFormat="1" x14ac:dyDescent="0.25">
      <c r="A212" s="52">
        <f t="shared" si="3"/>
        <v>211</v>
      </c>
      <c r="B212" s="29" t="s">
        <v>902</v>
      </c>
      <c r="C212" s="2" t="s">
        <v>905</v>
      </c>
      <c r="D212" s="13" t="s">
        <v>906</v>
      </c>
      <c r="E212" s="2" t="s">
        <v>267</v>
      </c>
      <c r="F212" s="19" t="s">
        <v>23</v>
      </c>
      <c r="G212" s="2" t="s">
        <v>30</v>
      </c>
      <c r="H212" s="52" t="s">
        <v>360</v>
      </c>
      <c r="I212" s="49" t="s">
        <v>359</v>
      </c>
    </row>
    <row r="213" spans="1:9" s="49" customFormat="1" ht="15" customHeight="1" x14ac:dyDescent="0.25">
      <c r="A213" s="52">
        <f t="shared" si="3"/>
        <v>212</v>
      </c>
      <c r="B213" s="29" t="s">
        <v>902</v>
      </c>
      <c r="C213" s="2" t="s">
        <v>905</v>
      </c>
      <c r="D213" s="13" t="s">
        <v>906</v>
      </c>
      <c r="E213" s="2" t="s">
        <v>268</v>
      </c>
      <c r="F213" s="19" t="s">
        <v>201</v>
      </c>
      <c r="G213" s="2" t="s">
        <v>220</v>
      </c>
      <c r="H213" s="52" t="s">
        <v>111</v>
      </c>
      <c r="I213" s="49" t="s">
        <v>364</v>
      </c>
    </row>
    <row r="214" spans="1:9" s="49" customFormat="1" x14ac:dyDescent="0.25">
      <c r="A214" s="52">
        <f t="shared" si="3"/>
        <v>213</v>
      </c>
      <c r="B214" s="29" t="s">
        <v>902</v>
      </c>
      <c r="C214" s="2" t="s">
        <v>905</v>
      </c>
      <c r="D214" s="13" t="s">
        <v>906</v>
      </c>
      <c r="E214" s="2" t="s">
        <v>270</v>
      </c>
      <c r="F214" s="19" t="s">
        <v>25</v>
      </c>
      <c r="G214" s="2" t="s">
        <v>220</v>
      </c>
      <c r="H214" s="52" t="s">
        <v>400</v>
      </c>
      <c r="I214" s="51"/>
    </row>
    <row r="215" spans="1:9" s="49" customFormat="1" ht="15" customHeight="1" x14ac:dyDescent="0.25">
      <c r="A215" s="52">
        <f t="shared" si="3"/>
        <v>214</v>
      </c>
      <c r="B215" s="29" t="s">
        <v>902</v>
      </c>
      <c r="C215" s="2" t="s">
        <v>905</v>
      </c>
      <c r="D215" s="13" t="s">
        <v>906</v>
      </c>
      <c r="E215" s="2" t="s">
        <v>271</v>
      </c>
      <c r="F215" s="19" t="s">
        <v>202</v>
      </c>
      <c r="G215" s="2" t="s">
        <v>220</v>
      </c>
      <c r="H215" s="52" t="s">
        <v>112</v>
      </c>
      <c r="I215" s="49" t="s">
        <v>360</v>
      </c>
    </row>
    <row r="216" spans="1:9" s="49" customFormat="1" ht="25.5" x14ac:dyDescent="0.25">
      <c r="A216" s="52">
        <f t="shared" si="3"/>
        <v>215</v>
      </c>
      <c r="B216" s="29" t="s">
        <v>902</v>
      </c>
      <c r="C216" s="2" t="s">
        <v>905</v>
      </c>
      <c r="D216" s="13" t="s">
        <v>906</v>
      </c>
      <c r="E216" s="2" t="s">
        <v>272</v>
      </c>
      <c r="F216" s="19" t="s">
        <v>277</v>
      </c>
      <c r="G216" s="2" t="s">
        <v>220</v>
      </c>
      <c r="H216" s="54" t="s">
        <v>361</v>
      </c>
      <c r="I216" s="51"/>
    </row>
    <row r="217" spans="1:9" s="49" customFormat="1" ht="25.5" x14ac:dyDescent="0.25">
      <c r="A217" s="52">
        <f t="shared" si="3"/>
        <v>216</v>
      </c>
      <c r="B217" s="29" t="s">
        <v>902</v>
      </c>
      <c r="C217" s="2" t="s">
        <v>905</v>
      </c>
      <c r="D217" s="13" t="s">
        <v>906</v>
      </c>
      <c r="E217" s="2" t="s">
        <v>275</v>
      </c>
      <c r="F217" s="19" t="s">
        <v>278</v>
      </c>
      <c r="G217" s="2" t="s">
        <v>220</v>
      </c>
      <c r="H217" s="54" t="s">
        <v>362</v>
      </c>
      <c r="I217" s="49" t="s">
        <v>111</v>
      </c>
    </row>
    <row r="218" spans="1:9" s="49" customFormat="1" x14ac:dyDescent="0.25">
      <c r="A218" s="52">
        <f t="shared" si="3"/>
        <v>217</v>
      </c>
      <c r="B218" s="29" t="s">
        <v>902</v>
      </c>
      <c r="C218" s="2" t="s">
        <v>905</v>
      </c>
      <c r="D218" s="13" t="s">
        <v>906</v>
      </c>
      <c r="E218" s="2" t="s">
        <v>12</v>
      </c>
      <c r="F218" s="19" t="s">
        <v>280</v>
      </c>
      <c r="G218" s="2" t="s">
        <v>220</v>
      </c>
      <c r="H218" s="53" t="s">
        <v>844</v>
      </c>
      <c r="I218" s="49" t="s">
        <v>400</v>
      </c>
    </row>
    <row r="219" spans="1:9" s="49" customFormat="1" x14ac:dyDescent="0.25">
      <c r="A219" s="52">
        <f t="shared" si="3"/>
        <v>218</v>
      </c>
      <c r="B219" s="29" t="s">
        <v>902</v>
      </c>
      <c r="C219" s="2" t="s">
        <v>905</v>
      </c>
      <c r="D219" s="13" t="s">
        <v>906</v>
      </c>
      <c r="E219" s="2" t="s">
        <v>13</v>
      </c>
      <c r="F219" s="19" t="s">
        <v>896</v>
      </c>
      <c r="G219" s="2" t="s">
        <v>30</v>
      </c>
      <c r="H219" s="54"/>
      <c r="I219" s="49" t="s">
        <v>112</v>
      </c>
    </row>
    <row r="220" spans="1:9" s="49" customFormat="1" x14ac:dyDescent="0.25">
      <c r="A220" s="52">
        <f t="shared" si="3"/>
        <v>219</v>
      </c>
      <c r="B220" s="29" t="s">
        <v>902</v>
      </c>
      <c r="C220" s="2" t="s">
        <v>905</v>
      </c>
      <c r="D220" s="13" t="s">
        <v>906</v>
      </c>
      <c r="E220" s="2" t="s">
        <v>14</v>
      </c>
      <c r="F220" s="19" t="s">
        <v>284</v>
      </c>
      <c r="G220" s="2" t="s">
        <v>30</v>
      </c>
      <c r="H220" s="54"/>
      <c r="I220" s="49" t="s">
        <v>361</v>
      </c>
    </row>
    <row r="221" spans="1:9" s="49" customFormat="1" x14ac:dyDescent="0.25">
      <c r="A221" s="52">
        <f t="shared" si="3"/>
        <v>220</v>
      </c>
      <c r="B221" s="29" t="s">
        <v>902</v>
      </c>
      <c r="C221" s="2" t="s">
        <v>905</v>
      </c>
      <c r="D221" s="13" t="s">
        <v>906</v>
      </c>
      <c r="E221" s="2" t="s">
        <v>15</v>
      </c>
      <c r="F221" s="19" t="s">
        <v>203</v>
      </c>
      <c r="G221" s="2" t="s">
        <v>30</v>
      </c>
      <c r="H221" s="52" t="s">
        <v>1019</v>
      </c>
      <c r="I221" s="49" t="s">
        <v>362</v>
      </c>
    </row>
    <row r="222" spans="1:9" s="49" customFormat="1" x14ac:dyDescent="0.25">
      <c r="A222" s="52">
        <f t="shared" si="3"/>
        <v>221</v>
      </c>
      <c r="B222" s="29" t="s">
        <v>902</v>
      </c>
      <c r="C222" s="2" t="s">
        <v>905</v>
      </c>
      <c r="D222" s="13" t="s">
        <v>906</v>
      </c>
      <c r="E222" s="2"/>
      <c r="F222" s="19" t="s">
        <v>29</v>
      </c>
      <c r="G222" s="2" t="s">
        <v>31</v>
      </c>
      <c r="H222" s="54" t="s">
        <v>132</v>
      </c>
    </row>
    <row r="223" spans="1:9" x14ac:dyDescent="0.25">
      <c r="A223" s="52">
        <f t="shared" si="3"/>
        <v>222</v>
      </c>
      <c r="B223" s="29" t="s">
        <v>902</v>
      </c>
      <c r="C223" s="2" t="s">
        <v>905</v>
      </c>
      <c r="D223" s="13" t="s">
        <v>907</v>
      </c>
      <c r="E223" s="2" t="s">
        <v>259</v>
      </c>
      <c r="F223" s="19" t="s">
        <v>199</v>
      </c>
      <c r="G223" s="2" t="s">
        <v>30</v>
      </c>
      <c r="H223" s="53"/>
      <c r="I223" t="s">
        <v>108</v>
      </c>
    </row>
    <row r="224" spans="1:9" x14ac:dyDescent="0.25">
      <c r="A224" s="52">
        <f t="shared" si="3"/>
        <v>223</v>
      </c>
      <c r="B224" s="29" t="s">
        <v>902</v>
      </c>
      <c r="C224" s="2" t="s">
        <v>905</v>
      </c>
      <c r="D224" s="13" t="s">
        <v>907</v>
      </c>
      <c r="E224" s="2" t="s">
        <v>33</v>
      </c>
      <c r="F224" s="19" t="s">
        <v>69</v>
      </c>
      <c r="G224" s="2" t="s">
        <v>30</v>
      </c>
      <c r="H224" s="53"/>
      <c r="I224" t="s">
        <v>114</v>
      </c>
    </row>
    <row r="225" spans="1:9" x14ac:dyDescent="0.25">
      <c r="A225" s="52">
        <f t="shared" si="3"/>
        <v>224</v>
      </c>
      <c r="B225" s="29" t="s">
        <v>902</v>
      </c>
      <c r="C225" s="2" t="s">
        <v>905</v>
      </c>
      <c r="D225" s="13" t="s">
        <v>907</v>
      </c>
      <c r="E225" s="2" t="s">
        <v>204</v>
      </c>
      <c r="F225" s="19" t="s">
        <v>152</v>
      </c>
      <c r="G225" s="2" t="s">
        <v>30</v>
      </c>
      <c r="I225" t="s">
        <v>128</v>
      </c>
    </row>
    <row r="226" spans="1:9" x14ac:dyDescent="0.25">
      <c r="A226" s="52">
        <f t="shared" si="3"/>
        <v>225</v>
      </c>
      <c r="B226" s="29" t="s">
        <v>902</v>
      </c>
      <c r="C226" s="2" t="s">
        <v>905</v>
      </c>
      <c r="D226" s="13" t="s">
        <v>907</v>
      </c>
      <c r="E226" s="2" t="s">
        <v>36</v>
      </c>
      <c r="F226" s="19" t="s">
        <v>205</v>
      </c>
      <c r="G226" s="2" t="s">
        <v>30</v>
      </c>
      <c r="H226" s="52"/>
      <c r="I226" t="s">
        <v>367</v>
      </c>
    </row>
    <row r="227" spans="1:9" x14ac:dyDescent="0.25">
      <c r="A227" s="52">
        <f t="shared" si="3"/>
        <v>226</v>
      </c>
      <c r="B227" s="29" t="s">
        <v>902</v>
      </c>
      <c r="C227" s="2" t="s">
        <v>905</v>
      </c>
      <c r="D227" s="13" t="s">
        <v>907</v>
      </c>
      <c r="E227" s="2" t="s">
        <v>38</v>
      </c>
      <c r="F227" s="19" t="s">
        <v>206</v>
      </c>
      <c r="G227" s="2" t="s">
        <v>30</v>
      </c>
      <c r="H227" s="52"/>
      <c r="I227" t="s">
        <v>124</v>
      </c>
    </row>
    <row r="228" spans="1:9" x14ac:dyDescent="0.25">
      <c r="A228" s="52">
        <f t="shared" si="3"/>
        <v>227</v>
      </c>
      <c r="B228" s="29" t="s">
        <v>902</v>
      </c>
      <c r="C228" s="2" t="s">
        <v>905</v>
      </c>
      <c r="D228" s="13" t="s">
        <v>907</v>
      </c>
      <c r="E228" s="2" t="s">
        <v>40</v>
      </c>
      <c r="F228" s="19" t="s">
        <v>207</v>
      </c>
      <c r="G228" s="2" t="s">
        <v>30</v>
      </c>
      <c r="H228" s="52"/>
      <c r="I228" t="s">
        <v>118</v>
      </c>
    </row>
    <row r="229" spans="1:9" x14ac:dyDescent="0.25">
      <c r="A229" s="52">
        <f t="shared" si="3"/>
        <v>228</v>
      </c>
      <c r="B229" s="29" t="s">
        <v>902</v>
      </c>
      <c r="C229" s="2" t="s">
        <v>905</v>
      </c>
      <c r="D229" s="13" t="s">
        <v>907</v>
      </c>
      <c r="E229" s="2" t="s">
        <v>208</v>
      </c>
      <c r="F229" s="19" t="s">
        <v>209</v>
      </c>
      <c r="G229" s="2" t="s">
        <v>210</v>
      </c>
      <c r="H229" s="52"/>
      <c r="I229" t="s">
        <v>132</v>
      </c>
    </row>
    <row r="230" spans="1:9" x14ac:dyDescent="0.25">
      <c r="A230" s="52">
        <f t="shared" si="3"/>
        <v>229</v>
      </c>
      <c r="B230" s="29" t="s">
        <v>902</v>
      </c>
      <c r="C230" s="2" t="s">
        <v>905</v>
      </c>
      <c r="D230" s="13" t="s">
        <v>907</v>
      </c>
      <c r="E230" s="2" t="s">
        <v>192</v>
      </c>
      <c r="F230" s="19" t="s">
        <v>211</v>
      </c>
      <c r="G230" s="2" t="s">
        <v>210</v>
      </c>
      <c r="H230" s="52"/>
      <c r="I230" t="s">
        <v>132</v>
      </c>
    </row>
    <row r="231" spans="1:9" x14ac:dyDescent="0.25">
      <c r="A231" s="52">
        <f t="shared" si="3"/>
        <v>230</v>
      </c>
      <c r="B231" s="29" t="s">
        <v>902</v>
      </c>
      <c r="C231" s="2" t="s">
        <v>905</v>
      </c>
      <c r="D231" s="13" t="s">
        <v>907</v>
      </c>
      <c r="E231" s="2" t="s">
        <v>42</v>
      </c>
      <c r="F231" s="19" t="s">
        <v>58</v>
      </c>
      <c r="G231" s="2" t="s">
        <v>30</v>
      </c>
      <c r="H231" s="52"/>
      <c r="I231" t="s">
        <v>119</v>
      </c>
    </row>
    <row r="232" spans="1:9" x14ac:dyDescent="0.25">
      <c r="A232" s="52">
        <f t="shared" si="3"/>
        <v>231</v>
      </c>
      <c r="B232" s="29" t="s">
        <v>902</v>
      </c>
      <c r="C232" s="2" t="s">
        <v>905</v>
      </c>
      <c r="D232" s="13" t="s">
        <v>907</v>
      </c>
      <c r="E232" s="2" t="s">
        <v>43</v>
      </c>
      <c r="F232" s="19" t="s">
        <v>59</v>
      </c>
      <c r="G232" s="2" t="s">
        <v>30</v>
      </c>
      <c r="H232" s="52"/>
      <c r="I232" t="s">
        <v>120</v>
      </c>
    </row>
    <row r="233" spans="1:9" x14ac:dyDescent="0.25">
      <c r="A233" s="52">
        <f t="shared" si="3"/>
        <v>232</v>
      </c>
      <c r="B233" s="29" t="s">
        <v>902</v>
      </c>
      <c r="C233" s="2" t="s">
        <v>905</v>
      </c>
      <c r="D233" s="13" t="s">
        <v>907</v>
      </c>
      <c r="E233" s="2" t="s">
        <v>44</v>
      </c>
      <c r="F233" s="19" t="s">
        <v>60</v>
      </c>
      <c r="G233" s="2" t="s">
        <v>30</v>
      </c>
      <c r="H233" s="52"/>
      <c r="I233" t="s">
        <v>121</v>
      </c>
    </row>
    <row r="234" spans="1:9" x14ac:dyDescent="0.25">
      <c r="A234" s="52">
        <f t="shared" si="3"/>
        <v>233</v>
      </c>
      <c r="B234" s="29" t="s">
        <v>902</v>
      </c>
      <c r="C234" s="2" t="s">
        <v>905</v>
      </c>
      <c r="D234" s="13" t="s">
        <v>907</v>
      </c>
      <c r="E234" s="2" t="s">
        <v>45</v>
      </c>
      <c r="F234" s="19" t="s">
        <v>212</v>
      </c>
      <c r="G234" s="2" t="s">
        <v>30</v>
      </c>
      <c r="H234" s="52"/>
      <c r="I234" t="s">
        <v>405</v>
      </c>
    </row>
    <row r="235" spans="1:9" x14ac:dyDescent="0.25">
      <c r="A235" s="52">
        <f t="shared" si="3"/>
        <v>234</v>
      </c>
      <c r="B235" s="29" t="s">
        <v>902</v>
      </c>
      <c r="C235" s="2" t="s">
        <v>905</v>
      </c>
      <c r="D235" s="13" t="s">
        <v>907</v>
      </c>
      <c r="E235" s="2" t="s">
        <v>47</v>
      </c>
      <c r="F235" s="19" t="s">
        <v>213</v>
      </c>
      <c r="G235" s="2" t="s">
        <v>30</v>
      </c>
      <c r="H235" s="52"/>
      <c r="I235" t="s">
        <v>129</v>
      </c>
    </row>
    <row r="236" spans="1:9" x14ac:dyDescent="0.25">
      <c r="A236" s="52">
        <f t="shared" si="3"/>
        <v>235</v>
      </c>
      <c r="B236" s="29" t="s">
        <v>902</v>
      </c>
      <c r="C236" s="2" t="s">
        <v>905</v>
      </c>
      <c r="D236" s="13" t="s">
        <v>907</v>
      </c>
      <c r="E236" s="2" t="s">
        <v>48</v>
      </c>
      <c r="F236" s="19" t="s">
        <v>214</v>
      </c>
      <c r="G236" s="2" t="s">
        <v>30</v>
      </c>
      <c r="H236" s="52"/>
      <c r="I236" t="s">
        <v>407</v>
      </c>
    </row>
    <row r="237" spans="1:9" ht="14.45" customHeight="1" x14ac:dyDescent="0.25">
      <c r="A237" s="52">
        <f t="shared" si="3"/>
        <v>236</v>
      </c>
      <c r="B237" s="29" t="s">
        <v>902</v>
      </c>
      <c r="C237" s="2" t="s">
        <v>905</v>
      </c>
      <c r="D237" s="13" t="s">
        <v>907</v>
      </c>
      <c r="E237" s="2" t="s">
        <v>215</v>
      </c>
      <c r="F237" s="19" t="s">
        <v>216</v>
      </c>
      <c r="G237" s="2" t="s">
        <v>30</v>
      </c>
      <c r="H237" s="52"/>
      <c r="I237" t="s">
        <v>406</v>
      </c>
    </row>
    <row r="238" spans="1:9" x14ac:dyDescent="0.25">
      <c r="A238" s="52">
        <f t="shared" si="3"/>
        <v>237</v>
      </c>
      <c r="B238" s="29" t="s">
        <v>902</v>
      </c>
      <c r="C238" s="2" t="s">
        <v>905</v>
      </c>
      <c r="D238" s="13" t="s">
        <v>907</v>
      </c>
      <c r="E238" s="2" t="s">
        <v>217</v>
      </c>
      <c r="F238" s="19" t="s">
        <v>218</v>
      </c>
      <c r="G238" s="2" t="s">
        <v>30</v>
      </c>
      <c r="H238" s="52"/>
      <c r="I238" t="s">
        <v>360</v>
      </c>
    </row>
    <row r="239" spans="1:9" x14ac:dyDescent="0.25">
      <c r="A239" s="52">
        <f t="shared" si="3"/>
        <v>238</v>
      </c>
      <c r="B239" s="29" t="s">
        <v>902</v>
      </c>
      <c r="C239" s="2" t="s">
        <v>905</v>
      </c>
      <c r="D239" s="13" t="s">
        <v>907</v>
      </c>
      <c r="E239" s="2" t="s">
        <v>50</v>
      </c>
      <c r="F239" s="19" t="s">
        <v>219</v>
      </c>
      <c r="G239" s="2" t="s">
        <v>220</v>
      </c>
    </row>
    <row r="240" spans="1:9" x14ac:dyDescent="0.25">
      <c r="A240" s="52">
        <f t="shared" si="3"/>
        <v>239</v>
      </c>
      <c r="B240" s="29" t="s">
        <v>902</v>
      </c>
      <c r="C240" s="2" t="s">
        <v>905</v>
      </c>
      <c r="D240" s="13" t="s">
        <v>907</v>
      </c>
      <c r="E240" s="2" t="s">
        <v>221</v>
      </c>
      <c r="F240" s="19" t="s">
        <v>222</v>
      </c>
      <c r="G240" s="2" t="s">
        <v>220</v>
      </c>
    </row>
    <row r="241" spans="1:9" x14ac:dyDescent="0.25">
      <c r="A241" s="52">
        <f t="shared" si="3"/>
        <v>240</v>
      </c>
      <c r="B241" s="29" t="s">
        <v>902</v>
      </c>
      <c r="C241" s="2" t="s">
        <v>905</v>
      </c>
      <c r="D241" s="13" t="s">
        <v>907</v>
      </c>
      <c r="E241" s="2" t="s">
        <v>51</v>
      </c>
      <c r="F241" s="19" t="s">
        <v>223</v>
      </c>
      <c r="G241" s="2" t="s">
        <v>220</v>
      </c>
    </row>
    <row r="242" spans="1:9" x14ac:dyDescent="0.25">
      <c r="A242" s="52">
        <f t="shared" si="3"/>
        <v>241</v>
      </c>
      <c r="B242" s="29" t="s">
        <v>902</v>
      </c>
      <c r="C242" s="2" t="s">
        <v>905</v>
      </c>
      <c r="D242" s="13" t="s">
        <v>907</v>
      </c>
      <c r="E242" s="2" t="s">
        <v>224</v>
      </c>
      <c r="F242" s="19" t="s">
        <v>225</v>
      </c>
      <c r="G242" s="2" t="s">
        <v>30</v>
      </c>
    </row>
    <row r="243" spans="1:9" x14ac:dyDescent="0.25">
      <c r="A243" s="52">
        <f t="shared" si="3"/>
        <v>242</v>
      </c>
      <c r="B243" s="29" t="s">
        <v>902</v>
      </c>
      <c r="C243" s="2" t="s">
        <v>905</v>
      </c>
      <c r="D243" s="13" t="s">
        <v>907</v>
      </c>
      <c r="E243" s="2" t="s">
        <v>226</v>
      </c>
      <c r="F243" s="19" t="s">
        <v>227</v>
      </c>
      <c r="G243" s="2" t="s">
        <v>220</v>
      </c>
    </row>
    <row r="244" spans="1:9" x14ac:dyDescent="0.25">
      <c r="A244" s="52">
        <f t="shared" si="3"/>
        <v>243</v>
      </c>
      <c r="B244" s="29" t="s">
        <v>902</v>
      </c>
      <c r="C244" s="2" t="s">
        <v>905</v>
      </c>
      <c r="D244" s="13" t="s">
        <v>907</v>
      </c>
      <c r="E244" s="2" t="s">
        <v>228</v>
      </c>
      <c r="F244" s="19" t="s">
        <v>229</v>
      </c>
      <c r="G244" s="2" t="s">
        <v>30</v>
      </c>
    </row>
    <row r="245" spans="1:9" x14ac:dyDescent="0.25">
      <c r="A245" s="52">
        <f t="shared" si="3"/>
        <v>244</v>
      </c>
      <c r="B245" s="29" t="s">
        <v>902</v>
      </c>
      <c r="C245" s="2" t="s">
        <v>905</v>
      </c>
      <c r="D245" s="13" t="s">
        <v>907</v>
      </c>
      <c r="E245" s="2" t="s">
        <v>230</v>
      </c>
      <c r="F245" s="19" t="s">
        <v>64</v>
      </c>
      <c r="G245" s="2" t="s">
        <v>220</v>
      </c>
    </row>
    <row r="246" spans="1:9" x14ac:dyDescent="0.25">
      <c r="A246" s="52">
        <f t="shared" si="3"/>
        <v>245</v>
      </c>
      <c r="B246" s="29" t="s">
        <v>902</v>
      </c>
      <c r="C246" s="2" t="s">
        <v>905</v>
      </c>
      <c r="D246" s="13" t="s">
        <v>907</v>
      </c>
      <c r="E246" s="2" t="s">
        <v>231</v>
      </c>
      <c r="F246" s="19" t="s">
        <v>232</v>
      </c>
      <c r="G246" s="2" t="s">
        <v>220</v>
      </c>
    </row>
    <row r="247" spans="1:9" x14ac:dyDescent="0.25">
      <c r="A247" s="52">
        <f t="shared" si="3"/>
        <v>246</v>
      </c>
      <c r="B247" s="29" t="s">
        <v>902</v>
      </c>
      <c r="C247" s="2" t="s">
        <v>905</v>
      </c>
      <c r="D247" s="13" t="s">
        <v>908</v>
      </c>
      <c r="E247" s="2" t="s">
        <v>259</v>
      </c>
      <c r="F247" s="19" t="s">
        <v>199</v>
      </c>
      <c r="G247" s="2" t="s">
        <v>30</v>
      </c>
      <c r="H247" s="53" t="s">
        <v>108</v>
      </c>
      <c r="I247" t="s">
        <v>108</v>
      </c>
    </row>
    <row r="248" spans="1:9" x14ac:dyDescent="0.25">
      <c r="A248" s="52">
        <f t="shared" si="3"/>
        <v>247</v>
      </c>
      <c r="B248" s="29" t="s">
        <v>902</v>
      </c>
      <c r="C248" s="2" t="s">
        <v>905</v>
      </c>
      <c r="D248" s="13" t="s">
        <v>908</v>
      </c>
      <c r="E248" s="2" t="s">
        <v>33</v>
      </c>
      <c r="F248" s="19" t="s">
        <v>69</v>
      </c>
      <c r="G248" s="2" t="s">
        <v>30</v>
      </c>
      <c r="H248" s="53" t="s">
        <v>114</v>
      </c>
      <c r="I248" t="s">
        <v>114</v>
      </c>
    </row>
    <row r="249" spans="1:9" x14ac:dyDescent="0.25">
      <c r="A249" s="52">
        <f t="shared" si="3"/>
        <v>248</v>
      </c>
      <c r="B249" s="29" t="s">
        <v>902</v>
      </c>
      <c r="C249" s="2" t="s">
        <v>905</v>
      </c>
      <c r="D249" s="13" t="s">
        <v>908</v>
      </c>
      <c r="E249" s="2" t="s">
        <v>233</v>
      </c>
      <c r="F249" s="19" t="s">
        <v>234</v>
      </c>
      <c r="G249" s="2" t="s">
        <v>220</v>
      </c>
      <c r="H249" s="52" t="s">
        <v>393</v>
      </c>
      <c r="I249" t="s">
        <v>393</v>
      </c>
    </row>
    <row r="250" spans="1:9" ht="14.45" customHeight="1" x14ac:dyDescent="0.25">
      <c r="A250" s="52">
        <f t="shared" si="3"/>
        <v>249</v>
      </c>
      <c r="B250" s="29" t="s">
        <v>902</v>
      </c>
      <c r="C250" s="2" t="s">
        <v>905</v>
      </c>
      <c r="D250" s="13" t="s">
        <v>908</v>
      </c>
      <c r="E250" s="2" t="s">
        <v>72</v>
      </c>
      <c r="F250" s="19" t="s">
        <v>235</v>
      </c>
      <c r="G250" s="2" t="s">
        <v>220</v>
      </c>
      <c r="H250" s="52" t="s">
        <v>395</v>
      </c>
    </row>
    <row r="251" spans="1:9" ht="14.45" customHeight="1" x14ac:dyDescent="0.25">
      <c r="A251" s="52">
        <f t="shared" si="3"/>
        <v>250</v>
      </c>
      <c r="B251" s="29" t="s">
        <v>902</v>
      </c>
      <c r="C251" s="2" t="s">
        <v>905</v>
      </c>
      <c r="D251" s="13" t="s">
        <v>908</v>
      </c>
      <c r="E251" s="2" t="s">
        <v>74</v>
      </c>
      <c r="F251" s="19" t="s">
        <v>236</v>
      </c>
      <c r="G251" s="2" t="s">
        <v>220</v>
      </c>
      <c r="H251" s="52" t="s">
        <v>386</v>
      </c>
      <c r="I251" t="s">
        <v>386</v>
      </c>
    </row>
    <row r="252" spans="1:9" ht="14.45" customHeight="1" x14ac:dyDescent="0.25">
      <c r="A252" s="52">
        <f t="shared" si="3"/>
        <v>251</v>
      </c>
      <c r="B252" s="29" t="s">
        <v>902</v>
      </c>
      <c r="C252" s="2" t="s">
        <v>905</v>
      </c>
      <c r="D252" s="13" t="s">
        <v>908</v>
      </c>
      <c r="E252" s="2" t="s">
        <v>237</v>
      </c>
      <c r="F252" s="19" t="s">
        <v>71</v>
      </c>
      <c r="G252" s="2" t="s">
        <v>30</v>
      </c>
      <c r="H252" s="52" t="s">
        <v>890</v>
      </c>
      <c r="I252" t="s">
        <v>131</v>
      </c>
    </row>
    <row r="253" spans="1:9" ht="14.45" customHeight="1" x14ac:dyDescent="0.25">
      <c r="A253" s="52">
        <f t="shared" si="3"/>
        <v>252</v>
      </c>
      <c r="B253" s="29" t="s">
        <v>902</v>
      </c>
      <c r="C253" s="2" t="s">
        <v>905</v>
      </c>
      <c r="D253" s="13" t="s">
        <v>908</v>
      </c>
      <c r="E253" s="2" t="s">
        <v>76</v>
      </c>
      <c r="F253" s="19" t="s">
        <v>73</v>
      </c>
      <c r="G253" s="2" t="s">
        <v>30</v>
      </c>
      <c r="H253" s="52" t="s">
        <v>126</v>
      </c>
      <c r="I253" t="s">
        <v>408</v>
      </c>
    </row>
    <row r="254" spans="1:9" ht="14.45" customHeight="1" x14ac:dyDescent="0.25">
      <c r="A254" s="52">
        <f t="shared" si="3"/>
        <v>253</v>
      </c>
      <c r="B254" s="29" t="s">
        <v>902</v>
      </c>
      <c r="C254" s="2" t="s">
        <v>905</v>
      </c>
      <c r="D254" s="13" t="s">
        <v>908</v>
      </c>
      <c r="E254" s="2" t="s">
        <v>77</v>
      </c>
      <c r="F254" s="19" t="s">
        <v>193</v>
      </c>
      <c r="G254" s="2" t="s">
        <v>30</v>
      </c>
      <c r="H254" s="54" t="s">
        <v>913</v>
      </c>
      <c r="I254" t="s">
        <v>131</v>
      </c>
    </row>
    <row r="255" spans="1:9" ht="21.95" customHeight="1" x14ac:dyDescent="0.25">
      <c r="A255" s="52">
        <f t="shared" si="3"/>
        <v>254</v>
      </c>
      <c r="B255" s="29" t="s">
        <v>902</v>
      </c>
      <c r="C255" s="2" t="s">
        <v>905</v>
      </c>
      <c r="D255" s="13" t="s">
        <v>908</v>
      </c>
      <c r="E255" s="2" t="s">
        <v>78</v>
      </c>
      <c r="F255" s="19" t="s">
        <v>238</v>
      </c>
      <c r="G255" s="2" t="s">
        <v>30</v>
      </c>
      <c r="H255" s="52">
        <v>0</v>
      </c>
    </row>
    <row r="256" spans="1:9" ht="14.45" customHeight="1" x14ac:dyDescent="0.25">
      <c r="A256" s="52">
        <f t="shared" si="3"/>
        <v>255</v>
      </c>
      <c r="B256" s="29" t="s">
        <v>902</v>
      </c>
      <c r="C256" s="2" t="s">
        <v>905</v>
      </c>
      <c r="D256" s="13" t="s">
        <v>908</v>
      </c>
      <c r="E256" s="2" t="s">
        <v>239</v>
      </c>
      <c r="F256" s="19" t="s">
        <v>240</v>
      </c>
      <c r="G256" s="2" t="s">
        <v>30</v>
      </c>
      <c r="H256" s="54" t="s">
        <v>409</v>
      </c>
    </row>
    <row r="257" spans="1:9" ht="14.45" customHeight="1" x14ac:dyDescent="0.25">
      <c r="A257" s="52">
        <f t="shared" si="3"/>
        <v>256</v>
      </c>
      <c r="B257" s="29" t="s">
        <v>902</v>
      </c>
      <c r="C257" s="2" t="s">
        <v>905</v>
      </c>
      <c r="D257" s="13" t="s">
        <v>908</v>
      </c>
      <c r="E257" s="2" t="s">
        <v>241</v>
      </c>
      <c r="F257" s="19" t="s">
        <v>242</v>
      </c>
      <c r="G257" s="2" t="s">
        <v>220</v>
      </c>
      <c r="H257" s="54" t="s">
        <v>132</v>
      </c>
    </row>
    <row r="258" spans="1:9" ht="14.45" customHeight="1" x14ac:dyDescent="0.25">
      <c r="A258" s="52">
        <f t="shared" si="3"/>
        <v>257</v>
      </c>
      <c r="B258" s="29" t="s">
        <v>902</v>
      </c>
      <c r="C258" s="2" t="s">
        <v>905</v>
      </c>
      <c r="D258" s="13" t="s">
        <v>908</v>
      </c>
      <c r="E258" s="2" t="s">
        <v>243</v>
      </c>
      <c r="F258" s="19" t="s">
        <v>80</v>
      </c>
      <c r="G258" s="2" t="s">
        <v>30</v>
      </c>
      <c r="H258" s="52" t="s">
        <v>1130</v>
      </c>
    </row>
    <row r="259" spans="1:9" ht="22.5" customHeight="1" x14ac:dyDescent="0.25">
      <c r="A259" s="52">
        <f t="shared" si="3"/>
        <v>258</v>
      </c>
      <c r="B259" s="29" t="s">
        <v>902</v>
      </c>
      <c r="C259" s="2" t="s">
        <v>905</v>
      </c>
      <c r="D259" s="13" t="s">
        <v>908</v>
      </c>
      <c r="E259" s="2" t="s">
        <v>244</v>
      </c>
      <c r="F259" s="19" t="s">
        <v>245</v>
      </c>
      <c r="G259" s="2" t="s">
        <v>220</v>
      </c>
      <c r="H259" s="52" t="s">
        <v>1126</v>
      </c>
    </row>
    <row r="260" spans="1:9" x14ac:dyDescent="0.25">
      <c r="A260" s="52">
        <f t="shared" ref="A260:A323" si="4">+A259+1</f>
        <v>259</v>
      </c>
      <c r="B260" s="29" t="s">
        <v>902</v>
      </c>
      <c r="C260" s="2" t="s">
        <v>905</v>
      </c>
      <c r="D260" s="13" t="s">
        <v>908</v>
      </c>
      <c r="E260" s="2" t="s">
        <v>246</v>
      </c>
      <c r="F260" s="19" t="s">
        <v>247</v>
      </c>
      <c r="G260" s="2" t="s">
        <v>248</v>
      </c>
      <c r="H260" s="54" t="s">
        <v>132</v>
      </c>
    </row>
    <row r="261" spans="1:9" x14ac:dyDescent="0.25">
      <c r="A261" s="52">
        <f t="shared" si="4"/>
        <v>260</v>
      </c>
      <c r="B261" s="29" t="s">
        <v>902</v>
      </c>
      <c r="C261" s="2" t="s">
        <v>905</v>
      </c>
      <c r="D261" s="13" t="s">
        <v>908</v>
      </c>
      <c r="E261" s="2" t="s">
        <v>249</v>
      </c>
      <c r="F261" s="19" t="s">
        <v>250</v>
      </c>
      <c r="G261" s="2" t="s">
        <v>248</v>
      </c>
      <c r="H261" s="54" t="s">
        <v>132</v>
      </c>
    </row>
    <row r="262" spans="1:9" x14ac:dyDescent="0.25">
      <c r="A262" s="52">
        <f t="shared" si="4"/>
        <v>261</v>
      </c>
      <c r="B262" s="29" t="s">
        <v>902</v>
      </c>
      <c r="C262" s="2" t="s">
        <v>905</v>
      </c>
      <c r="D262" s="13" t="s">
        <v>908</v>
      </c>
      <c r="E262" s="2" t="s">
        <v>251</v>
      </c>
      <c r="F262" s="19" t="s">
        <v>252</v>
      </c>
      <c r="G262" s="2" t="s">
        <v>30</v>
      </c>
      <c r="H262" s="52" t="s">
        <v>1131</v>
      </c>
      <c r="I262" t="s">
        <v>410</v>
      </c>
    </row>
    <row r="263" spans="1:9" x14ac:dyDescent="0.25">
      <c r="A263" s="52">
        <f t="shared" si="4"/>
        <v>262</v>
      </c>
      <c r="B263" s="29" t="s">
        <v>902</v>
      </c>
      <c r="C263" s="2" t="s">
        <v>905</v>
      </c>
      <c r="D263" s="13" t="s">
        <v>1106</v>
      </c>
      <c r="E263" s="2" t="s">
        <v>259</v>
      </c>
      <c r="F263" s="19" t="s">
        <v>199</v>
      </c>
      <c r="G263" s="2" t="s">
        <v>30</v>
      </c>
      <c r="H263" s="54" t="s">
        <v>130</v>
      </c>
    </row>
    <row r="264" spans="1:9" x14ac:dyDescent="0.25">
      <c r="A264" s="52">
        <f t="shared" si="4"/>
        <v>263</v>
      </c>
      <c r="B264" s="29" t="s">
        <v>902</v>
      </c>
      <c r="C264" s="2" t="s">
        <v>905</v>
      </c>
      <c r="D264" s="13" t="s">
        <v>1106</v>
      </c>
      <c r="E264" s="13" t="s">
        <v>33</v>
      </c>
      <c r="F264" s="18" t="s">
        <v>69</v>
      </c>
      <c r="G264" s="2" t="s">
        <v>30</v>
      </c>
      <c r="H264" s="54" t="s">
        <v>114</v>
      </c>
    </row>
    <row r="265" spans="1:9" x14ac:dyDescent="0.25">
      <c r="A265" s="52">
        <f t="shared" si="4"/>
        <v>264</v>
      </c>
      <c r="B265" s="29" t="s">
        <v>902</v>
      </c>
      <c r="C265" s="2" t="s">
        <v>905</v>
      </c>
      <c r="D265" s="13" t="s">
        <v>1106</v>
      </c>
      <c r="E265" s="13" t="s">
        <v>197</v>
      </c>
      <c r="F265" s="18" t="s">
        <v>182</v>
      </c>
      <c r="G265" s="2" t="s">
        <v>30</v>
      </c>
      <c r="H265" t="s">
        <v>1123</v>
      </c>
    </row>
    <row r="266" spans="1:9" x14ac:dyDescent="0.25">
      <c r="A266" s="52">
        <f t="shared" si="4"/>
        <v>265</v>
      </c>
      <c r="B266" s="29" t="s">
        <v>902</v>
      </c>
      <c r="C266" s="2" t="s">
        <v>905</v>
      </c>
      <c r="D266" s="13" t="s">
        <v>1107</v>
      </c>
      <c r="E266" s="2" t="s">
        <v>259</v>
      </c>
      <c r="F266" s="19" t="s">
        <v>199</v>
      </c>
      <c r="G266" s="2" t="s">
        <v>30</v>
      </c>
      <c r="H266" s="53" t="s">
        <v>108</v>
      </c>
    </row>
    <row r="267" spans="1:9" x14ac:dyDescent="0.25">
      <c r="A267" s="52">
        <f t="shared" si="4"/>
        <v>266</v>
      </c>
      <c r="B267" s="29" t="s">
        <v>902</v>
      </c>
      <c r="C267" s="2" t="s">
        <v>905</v>
      </c>
      <c r="D267" s="13" t="s">
        <v>1107</v>
      </c>
      <c r="E267" s="13" t="s">
        <v>33</v>
      </c>
      <c r="F267" s="18" t="s">
        <v>69</v>
      </c>
      <c r="G267" s="2" t="s">
        <v>30</v>
      </c>
      <c r="H267" s="54" t="s">
        <v>114</v>
      </c>
    </row>
    <row r="268" spans="1:9" x14ac:dyDescent="0.25">
      <c r="A268" s="52">
        <f t="shared" si="4"/>
        <v>267</v>
      </c>
      <c r="B268" s="29" t="s">
        <v>902</v>
      </c>
      <c r="C268" s="2" t="s">
        <v>905</v>
      </c>
      <c r="D268" s="13" t="s">
        <v>1107</v>
      </c>
      <c r="E268" s="13" t="s">
        <v>85</v>
      </c>
      <c r="F268" s="18" t="s">
        <v>88</v>
      </c>
      <c r="G268" s="2" t="s">
        <v>30</v>
      </c>
    </row>
    <row r="269" spans="1:9" x14ac:dyDescent="0.25">
      <c r="A269" s="52">
        <f t="shared" si="4"/>
        <v>268</v>
      </c>
      <c r="B269" s="29" t="s">
        <v>902</v>
      </c>
      <c r="C269" s="2" t="s">
        <v>905</v>
      </c>
      <c r="D269" s="13" t="s">
        <v>1107</v>
      </c>
      <c r="E269" s="13" t="s">
        <v>86</v>
      </c>
      <c r="F269" s="18" t="s">
        <v>89</v>
      </c>
      <c r="G269" s="2" t="s">
        <v>30</v>
      </c>
    </row>
    <row r="270" spans="1:9" x14ac:dyDescent="0.25">
      <c r="A270" s="52">
        <f t="shared" si="4"/>
        <v>269</v>
      </c>
      <c r="B270" s="29" t="s">
        <v>902</v>
      </c>
      <c r="C270" s="2" t="s">
        <v>905</v>
      </c>
      <c r="D270" s="13" t="s">
        <v>1107</v>
      </c>
      <c r="E270" s="13" t="s">
        <v>87</v>
      </c>
      <c r="F270" s="18" t="s">
        <v>90</v>
      </c>
      <c r="G270" s="2" t="s">
        <v>30</v>
      </c>
    </row>
    <row r="271" spans="1:9" x14ac:dyDescent="0.25">
      <c r="A271" s="52">
        <f t="shared" si="4"/>
        <v>270</v>
      </c>
      <c r="B271" s="29" t="s">
        <v>902</v>
      </c>
      <c r="C271" s="2" t="s">
        <v>905</v>
      </c>
      <c r="D271" s="13" t="s">
        <v>1044</v>
      </c>
      <c r="E271" s="2" t="s">
        <v>259</v>
      </c>
      <c r="F271" s="19" t="s">
        <v>199</v>
      </c>
      <c r="G271" s="2" t="s">
        <v>30</v>
      </c>
      <c r="H271" s="53" t="s">
        <v>108</v>
      </c>
    </row>
    <row r="272" spans="1:9" x14ac:dyDescent="0.25">
      <c r="A272" s="52">
        <f t="shared" si="4"/>
        <v>271</v>
      </c>
      <c r="B272" s="29" t="s">
        <v>902</v>
      </c>
      <c r="C272" s="2" t="s">
        <v>905</v>
      </c>
      <c r="D272" s="13" t="s">
        <v>1044</v>
      </c>
      <c r="E272" s="2" t="s">
        <v>33</v>
      </c>
      <c r="F272" s="18" t="s">
        <v>69</v>
      </c>
      <c r="G272" s="2" t="s">
        <v>30</v>
      </c>
      <c r="H272" s="54" t="s">
        <v>114</v>
      </c>
    </row>
    <row r="273" spans="1:9" x14ac:dyDescent="0.25">
      <c r="A273" s="52">
        <f t="shared" si="4"/>
        <v>272</v>
      </c>
      <c r="B273" s="29" t="s">
        <v>902</v>
      </c>
      <c r="C273" s="2" t="s">
        <v>905</v>
      </c>
      <c r="D273" s="13" t="s">
        <v>1044</v>
      </c>
      <c r="E273" s="2" t="s">
        <v>259</v>
      </c>
      <c r="F273" s="19" t="s">
        <v>1043</v>
      </c>
      <c r="G273" s="2" t="s">
        <v>30</v>
      </c>
      <c r="H273" t="s">
        <v>1332</v>
      </c>
    </row>
    <row r="274" spans="1:9" x14ac:dyDescent="0.25">
      <c r="A274" s="52">
        <f t="shared" si="4"/>
        <v>273</v>
      </c>
      <c r="B274" s="29" t="s">
        <v>902</v>
      </c>
      <c r="C274" s="2" t="s">
        <v>905</v>
      </c>
      <c r="D274" s="13" t="s">
        <v>1044</v>
      </c>
      <c r="E274" s="2" t="s">
        <v>33</v>
      </c>
      <c r="F274" s="18" t="s">
        <v>1024</v>
      </c>
      <c r="G274" s="2" t="s">
        <v>30</v>
      </c>
      <c r="H274" t="s">
        <v>1329</v>
      </c>
    </row>
    <row r="275" spans="1:9" x14ac:dyDescent="0.25">
      <c r="A275" s="52">
        <f t="shared" si="4"/>
        <v>274</v>
      </c>
      <c r="B275" s="29" t="s">
        <v>902</v>
      </c>
      <c r="C275" s="2" t="s">
        <v>905</v>
      </c>
      <c r="D275" s="13" t="s">
        <v>1044</v>
      </c>
      <c r="E275" s="2" t="s">
        <v>267</v>
      </c>
      <c r="F275" s="18" t="s">
        <v>23</v>
      </c>
      <c r="G275" s="2" t="s">
        <v>30</v>
      </c>
      <c r="H275" s="52"/>
    </row>
    <row r="276" spans="1:9" x14ac:dyDescent="0.25">
      <c r="A276" s="52">
        <f t="shared" si="4"/>
        <v>275</v>
      </c>
      <c r="B276" s="29" t="s">
        <v>902</v>
      </c>
      <c r="C276" s="2" t="s">
        <v>905</v>
      </c>
      <c r="D276" s="13" t="s">
        <v>1044</v>
      </c>
      <c r="E276" s="2" t="s">
        <v>40</v>
      </c>
      <c r="F276" s="18" t="s">
        <v>1026</v>
      </c>
      <c r="G276" s="2" t="s">
        <v>30</v>
      </c>
      <c r="H276" s="52"/>
    </row>
    <row r="277" spans="1:9" x14ac:dyDescent="0.25">
      <c r="A277" s="52">
        <f t="shared" si="4"/>
        <v>276</v>
      </c>
      <c r="B277" s="29" t="s">
        <v>902</v>
      </c>
      <c r="C277" s="2" t="s">
        <v>905</v>
      </c>
      <c r="D277" s="13" t="s">
        <v>1044</v>
      </c>
      <c r="E277" s="2" t="s">
        <v>42</v>
      </c>
      <c r="F277" s="18" t="s">
        <v>1027</v>
      </c>
      <c r="G277" s="2" t="s">
        <v>30</v>
      </c>
      <c r="H277" t="s">
        <v>1330</v>
      </c>
    </row>
    <row r="278" spans="1:9" x14ac:dyDescent="0.25">
      <c r="A278" s="52">
        <f t="shared" si="4"/>
        <v>277</v>
      </c>
      <c r="B278" s="29" t="s">
        <v>902</v>
      </c>
      <c r="C278" s="2" t="s">
        <v>905</v>
      </c>
      <c r="D278" s="13" t="s">
        <v>1044</v>
      </c>
      <c r="E278" s="2" t="s">
        <v>44</v>
      </c>
      <c r="F278" s="18" t="s">
        <v>1031</v>
      </c>
      <c r="G278" s="2" t="s">
        <v>30</v>
      </c>
      <c r="H278" s="52"/>
    </row>
    <row r="279" spans="1:9" x14ac:dyDescent="0.25">
      <c r="A279" s="52">
        <f t="shared" si="4"/>
        <v>278</v>
      </c>
      <c r="B279" s="29" t="s">
        <v>902</v>
      </c>
      <c r="C279" s="2" t="s">
        <v>905</v>
      </c>
      <c r="D279" s="13" t="s">
        <v>1044</v>
      </c>
      <c r="E279" s="2" t="s">
        <v>47</v>
      </c>
      <c r="F279" s="8" t="s">
        <v>61</v>
      </c>
      <c r="G279" s="2" t="s">
        <v>30</v>
      </c>
      <c r="H279" t="s">
        <v>1331</v>
      </c>
    </row>
    <row r="280" spans="1:9" x14ac:dyDescent="0.25">
      <c r="A280" s="52">
        <f t="shared" si="4"/>
        <v>279</v>
      </c>
      <c r="B280" s="29" t="s">
        <v>902</v>
      </c>
      <c r="C280" s="2" t="s">
        <v>905</v>
      </c>
      <c r="D280" s="13" t="s">
        <v>1044</v>
      </c>
      <c r="E280" s="13" t="s">
        <v>1028</v>
      </c>
      <c r="F280" s="18" t="s">
        <v>62</v>
      </c>
      <c r="G280" s="3" t="s">
        <v>30</v>
      </c>
      <c r="H280" s="54" t="s">
        <v>1318</v>
      </c>
    </row>
    <row r="281" spans="1:9" x14ac:dyDescent="0.25">
      <c r="A281" s="52">
        <f t="shared" si="4"/>
        <v>280</v>
      </c>
      <c r="B281" s="29" t="s">
        <v>902</v>
      </c>
      <c r="C281" s="2" t="s">
        <v>905</v>
      </c>
      <c r="D281" s="13" t="s">
        <v>1044</v>
      </c>
      <c r="E281" s="13" t="s">
        <v>1029</v>
      </c>
      <c r="F281" s="18" t="s">
        <v>1031</v>
      </c>
      <c r="G281" s="3" t="s">
        <v>30</v>
      </c>
    </row>
    <row r="282" spans="1:9" s="52" customFormat="1" x14ac:dyDescent="0.25">
      <c r="A282" s="52">
        <f t="shared" si="4"/>
        <v>281</v>
      </c>
      <c r="B282" s="29" t="s">
        <v>900</v>
      </c>
      <c r="C282" s="2" t="s">
        <v>909</v>
      </c>
      <c r="D282" s="13" t="s">
        <v>910</v>
      </c>
      <c r="E282" s="2" t="s">
        <v>259</v>
      </c>
      <c r="F282" s="19" t="s">
        <v>199</v>
      </c>
      <c r="G282" s="2" t="s">
        <v>30</v>
      </c>
      <c r="H282" s="53" t="s">
        <v>108</v>
      </c>
      <c r="I282" s="52" t="s">
        <v>108</v>
      </c>
    </row>
    <row r="283" spans="1:9" s="52" customFormat="1" x14ac:dyDescent="0.25">
      <c r="A283" s="52">
        <f t="shared" si="4"/>
        <v>282</v>
      </c>
      <c r="B283" s="29" t="s">
        <v>900</v>
      </c>
      <c r="C283" s="2" t="s">
        <v>909</v>
      </c>
      <c r="D283" s="13" t="s">
        <v>910</v>
      </c>
      <c r="E283" s="2" t="s">
        <v>261</v>
      </c>
      <c r="F283" s="19" t="s">
        <v>200</v>
      </c>
      <c r="G283" s="2" t="s">
        <v>30</v>
      </c>
      <c r="H283" s="53" t="s">
        <v>897</v>
      </c>
      <c r="I283" s="52" t="s">
        <v>385</v>
      </c>
    </row>
    <row r="284" spans="1:9" s="52" customFormat="1" x14ac:dyDescent="0.25">
      <c r="A284" s="52">
        <f t="shared" si="4"/>
        <v>283</v>
      </c>
      <c r="B284" s="29" t="s">
        <v>900</v>
      </c>
      <c r="C284" s="2" t="s">
        <v>909</v>
      </c>
      <c r="D284" s="13" t="s">
        <v>910</v>
      </c>
      <c r="E284" s="2" t="s">
        <v>262</v>
      </c>
      <c r="F284" s="50" t="s">
        <v>894</v>
      </c>
      <c r="G284" s="2" t="s">
        <v>30</v>
      </c>
      <c r="H284" s="54" t="s">
        <v>895</v>
      </c>
      <c r="I284" s="42"/>
    </row>
    <row r="285" spans="1:9" s="52" customFormat="1" x14ac:dyDescent="0.25">
      <c r="A285" s="52">
        <f t="shared" si="4"/>
        <v>284</v>
      </c>
      <c r="B285" s="29" t="s">
        <v>900</v>
      </c>
      <c r="C285" s="2" t="s">
        <v>909</v>
      </c>
      <c r="D285" s="13" t="s">
        <v>910</v>
      </c>
      <c r="E285" s="2" t="s">
        <v>264</v>
      </c>
      <c r="F285" s="19" t="s">
        <v>20</v>
      </c>
      <c r="G285" s="2" t="s">
        <v>30</v>
      </c>
      <c r="H285" s="52" t="s">
        <v>110</v>
      </c>
      <c r="I285" s="52" t="s">
        <v>363</v>
      </c>
    </row>
    <row r="286" spans="1:9" s="52" customFormat="1" x14ac:dyDescent="0.25">
      <c r="A286" s="52">
        <f t="shared" si="4"/>
        <v>285</v>
      </c>
      <c r="B286" s="29" t="s">
        <v>900</v>
      </c>
      <c r="C286" s="2" t="s">
        <v>909</v>
      </c>
      <c r="D286" s="13" t="s">
        <v>910</v>
      </c>
      <c r="E286" s="2" t="s">
        <v>266</v>
      </c>
      <c r="F286" s="19" t="s">
        <v>22</v>
      </c>
      <c r="G286" s="2" t="s">
        <v>30</v>
      </c>
      <c r="H286" s="52" t="s">
        <v>1137</v>
      </c>
      <c r="I286" s="52" t="s">
        <v>110</v>
      </c>
    </row>
    <row r="287" spans="1:9" s="52" customFormat="1" x14ac:dyDescent="0.25">
      <c r="A287" s="52">
        <f t="shared" si="4"/>
        <v>286</v>
      </c>
      <c r="B287" s="29" t="s">
        <v>900</v>
      </c>
      <c r="C287" s="2" t="s">
        <v>909</v>
      </c>
      <c r="D287" s="13" t="s">
        <v>910</v>
      </c>
      <c r="E287" s="2" t="s">
        <v>267</v>
      </c>
      <c r="F287" s="19" t="s">
        <v>23</v>
      </c>
      <c r="G287" s="2" t="s">
        <v>30</v>
      </c>
      <c r="H287" s="52" t="s">
        <v>360</v>
      </c>
      <c r="I287" s="52" t="s">
        <v>359</v>
      </c>
    </row>
    <row r="288" spans="1:9" s="52" customFormat="1" ht="15" customHeight="1" x14ac:dyDescent="0.25">
      <c r="A288" s="52">
        <f t="shared" si="4"/>
        <v>287</v>
      </c>
      <c r="B288" s="29" t="s">
        <v>900</v>
      </c>
      <c r="C288" s="2" t="s">
        <v>909</v>
      </c>
      <c r="D288" s="13" t="s">
        <v>910</v>
      </c>
      <c r="E288" s="2" t="s">
        <v>268</v>
      </c>
      <c r="F288" s="19" t="s">
        <v>201</v>
      </c>
      <c r="G288" s="2" t="s">
        <v>220</v>
      </c>
      <c r="H288" s="52" t="s">
        <v>111</v>
      </c>
      <c r="I288" s="52" t="s">
        <v>364</v>
      </c>
    </row>
    <row r="289" spans="1:9" s="52" customFormat="1" x14ac:dyDescent="0.25">
      <c r="A289" s="52">
        <f t="shared" si="4"/>
        <v>288</v>
      </c>
      <c r="B289" s="29" t="s">
        <v>900</v>
      </c>
      <c r="C289" s="2" t="s">
        <v>909</v>
      </c>
      <c r="D289" s="13" t="s">
        <v>910</v>
      </c>
      <c r="E289" s="2" t="s">
        <v>270</v>
      </c>
      <c r="F289" s="19" t="s">
        <v>25</v>
      </c>
      <c r="G289" s="2" t="s">
        <v>220</v>
      </c>
      <c r="H289" s="52" t="s">
        <v>400</v>
      </c>
      <c r="I289" s="42"/>
    </row>
    <row r="290" spans="1:9" s="52" customFormat="1" ht="15" customHeight="1" x14ac:dyDescent="0.25">
      <c r="A290" s="52">
        <f t="shared" si="4"/>
        <v>289</v>
      </c>
      <c r="B290" s="29" t="s">
        <v>900</v>
      </c>
      <c r="C290" s="2" t="s">
        <v>909</v>
      </c>
      <c r="D290" s="13" t="s">
        <v>910</v>
      </c>
      <c r="E290" s="2" t="s">
        <v>271</v>
      </c>
      <c r="F290" s="19" t="s">
        <v>202</v>
      </c>
      <c r="G290" s="2" t="s">
        <v>220</v>
      </c>
      <c r="H290" s="52" t="s">
        <v>112</v>
      </c>
      <c r="I290" s="52" t="s">
        <v>360</v>
      </c>
    </row>
    <row r="291" spans="1:9" s="52" customFormat="1" ht="25.5" x14ac:dyDescent="0.25">
      <c r="A291" s="52">
        <f t="shared" si="4"/>
        <v>290</v>
      </c>
      <c r="B291" s="29" t="s">
        <v>900</v>
      </c>
      <c r="C291" s="2" t="s">
        <v>909</v>
      </c>
      <c r="D291" s="13" t="s">
        <v>910</v>
      </c>
      <c r="E291" s="2" t="s">
        <v>272</v>
      </c>
      <c r="F291" s="19" t="s">
        <v>277</v>
      </c>
      <c r="G291" s="2" t="s">
        <v>220</v>
      </c>
      <c r="H291" s="54" t="s">
        <v>361</v>
      </c>
      <c r="I291" s="42"/>
    </row>
    <row r="292" spans="1:9" s="52" customFormat="1" ht="25.5" x14ac:dyDescent="0.25">
      <c r="A292" s="52">
        <f t="shared" si="4"/>
        <v>291</v>
      </c>
      <c r="B292" s="29" t="s">
        <v>900</v>
      </c>
      <c r="C292" s="2" t="s">
        <v>909</v>
      </c>
      <c r="D292" s="13" t="s">
        <v>910</v>
      </c>
      <c r="E292" s="2" t="s">
        <v>275</v>
      </c>
      <c r="F292" s="19" t="s">
        <v>278</v>
      </c>
      <c r="G292" s="2" t="s">
        <v>220</v>
      </c>
      <c r="H292" s="54" t="s">
        <v>362</v>
      </c>
      <c r="I292" s="52" t="s">
        <v>111</v>
      </c>
    </row>
    <row r="293" spans="1:9" s="52" customFormat="1" x14ac:dyDescent="0.25">
      <c r="A293" s="52">
        <f t="shared" si="4"/>
        <v>292</v>
      </c>
      <c r="B293" s="29" t="s">
        <v>900</v>
      </c>
      <c r="C293" s="2" t="s">
        <v>909</v>
      </c>
      <c r="D293" s="13" t="s">
        <v>910</v>
      </c>
      <c r="E293" s="2" t="s">
        <v>12</v>
      </c>
      <c r="F293" s="19" t="s">
        <v>280</v>
      </c>
      <c r="G293" s="2" t="s">
        <v>220</v>
      </c>
      <c r="H293" s="53" t="s">
        <v>844</v>
      </c>
      <c r="I293" s="52" t="s">
        <v>400</v>
      </c>
    </row>
    <row r="294" spans="1:9" s="52" customFormat="1" x14ac:dyDescent="0.25">
      <c r="A294" s="52">
        <f t="shared" si="4"/>
        <v>293</v>
      </c>
      <c r="B294" s="29" t="s">
        <v>900</v>
      </c>
      <c r="C294" s="2" t="s">
        <v>909</v>
      </c>
      <c r="D294" s="13" t="s">
        <v>910</v>
      </c>
      <c r="E294" s="2" t="s">
        <v>13</v>
      </c>
      <c r="F294" s="19" t="s">
        <v>896</v>
      </c>
      <c r="G294" s="2" t="s">
        <v>30</v>
      </c>
      <c r="H294" s="54"/>
      <c r="I294" s="52" t="s">
        <v>112</v>
      </c>
    </row>
    <row r="295" spans="1:9" s="52" customFormat="1" x14ac:dyDescent="0.25">
      <c r="A295" s="52">
        <f t="shared" si="4"/>
        <v>294</v>
      </c>
      <c r="B295" s="29" t="s">
        <v>900</v>
      </c>
      <c r="C295" s="2" t="s">
        <v>909</v>
      </c>
      <c r="D295" s="13" t="s">
        <v>910</v>
      </c>
      <c r="E295" s="2" t="s">
        <v>14</v>
      </c>
      <c r="F295" s="19" t="s">
        <v>284</v>
      </c>
      <c r="G295" s="2" t="s">
        <v>30</v>
      </c>
      <c r="H295" s="54"/>
      <c r="I295" s="52" t="s">
        <v>361</v>
      </c>
    </row>
    <row r="296" spans="1:9" s="52" customFormat="1" x14ac:dyDescent="0.25">
      <c r="A296" s="52">
        <f t="shared" si="4"/>
        <v>295</v>
      </c>
      <c r="B296" s="29" t="s">
        <v>900</v>
      </c>
      <c r="C296" s="2" t="s">
        <v>909</v>
      </c>
      <c r="D296" s="13" t="s">
        <v>910</v>
      </c>
      <c r="E296" s="2" t="s">
        <v>15</v>
      </c>
      <c r="F296" s="19" t="s">
        <v>203</v>
      </c>
      <c r="G296" s="2" t="s">
        <v>30</v>
      </c>
      <c r="H296" s="52" t="s">
        <v>1022</v>
      </c>
      <c r="I296" s="52" t="s">
        <v>362</v>
      </c>
    </row>
    <row r="297" spans="1:9" s="52" customFormat="1" x14ac:dyDescent="0.25">
      <c r="A297" s="52">
        <f t="shared" si="4"/>
        <v>296</v>
      </c>
      <c r="B297" s="29" t="s">
        <v>900</v>
      </c>
      <c r="C297" s="2" t="s">
        <v>909</v>
      </c>
      <c r="D297" s="13" t="s">
        <v>910</v>
      </c>
      <c r="E297" s="2"/>
      <c r="F297" s="19" t="s">
        <v>29</v>
      </c>
      <c r="G297" s="2" t="s">
        <v>31</v>
      </c>
      <c r="H297" s="54" t="s">
        <v>132</v>
      </c>
    </row>
    <row r="298" spans="1:9" x14ac:dyDescent="0.25">
      <c r="A298" s="52">
        <f t="shared" si="4"/>
        <v>297</v>
      </c>
      <c r="B298" s="29" t="s">
        <v>900</v>
      </c>
      <c r="C298" s="2" t="s">
        <v>909</v>
      </c>
      <c r="D298" s="13" t="s">
        <v>911</v>
      </c>
      <c r="E298" s="2" t="s">
        <v>259</v>
      </c>
      <c r="F298" s="19" t="s">
        <v>199</v>
      </c>
      <c r="G298" s="2" t="s">
        <v>30</v>
      </c>
      <c r="H298" s="53"/>
      <c r="I298" t="s">
        <v>108</v>
      </c>
    </row>
    <row r="299" spans="1:9" x14ac:dyDescent="0.25">
      <c r="A299" s="52">
        <f t="shared" si="4"/>
        <v>298</v>
      </c>
      <c r="B299" s="29" t="s">
        <v>900</v>
      </c>
      <c r="C299" s="2" t="s">
        <v>909</v>
      </c>
      <c r="D299" s="13" t="s">
        <v>911</v>
      </c>
      <c r="E299" s="2" t="s">
        <v>33</v>
      </c>
      <c r="F299" s="19" t="s">
        <v>69</v>
      </c>
      <c r="G299" s="2" t="s">
        <v>30</v>
      </c>
      <c r="H299" s="53"/>
      <c r="I299" t="s">
        <v>114</v>
      </c>
    </row>
    <row r="300" spans="1:9" x14ac:dyDescent="0.25">
      <c r="A300" s="52">
        <f t="shared" si="4"/>
        <v>299</v>
      </c>
      <c r="B300" s="29" t="s">
        <v>900</v>
      </c>
      <c r="C300" s="2" t="s">
        <v>909</v>
      </c>
      <c r="D300" s="13" t="s">
        <v>911</v>
      </c>
      <c r="E300" s="2" t="s">
        <v>204</v>
      </c>
      <c r="F300" s="19" t="s">
        <v>152</v>
      </c>
      <c r="G300" s="2" t="s">
        <v>30</v>
      </c>
      <c r="I300" t="s">
        <v>128</v>
      </c>
    </row>
    <row r="301" spans="1:9" x14ac:dyDescent="0.25">
      <c r="A301" s="52">
        <f t="shared" si="4"/>
        <v>300</v>
      </c>
      <c r="B301" s="29" t="s">
        <v>900</v>
      </c>
      <c r="C301" s="2" t="s">
        <v>909</v>
      </c>
      <c r="D301" s="13" t="s">
        <v>911</v>
      </c>
      <c r="E301" s="2" t="s">
        <v>36</v>
      </c>
      <c r="F301" s="19" t="s">
        <v>205</v>
      </c>
      <c r="G301" s="2" t="s">
        <v>30</v>
      </c>
      <c r="H301" s="52"/>
      <c r="I301" t="s">
        <v>367</v>
      </c>
    </row>
    <row r="302" spans="1:9" x14ac:dyDescent="0.25">
      <c r="A302" s="52">
        <f t="shared" si="4"/>
        <v>301</v>
      </c>
      <c r="B302" s="29" t="s">
        <v>900</v>
      </c>
      <c r="C302" s="2" t="s">
        <v>909</v>
      </c>
      <c r="D302" s="13" t="s">
        <v>911</v>
      </c>
      <c r="E302" s="2" t="s">
        <v>38</v>
      </c>
      <c r="F302" s="19" t="s">
        <v>206</v>
      </c>
      <c r="G302" s="2" t="s">
        <v>30</v>
      </c>
      <c r="H302" s="52"/>
      <c r="I302" t="s">
        <v>124</v>
      </c>
    </row>
    <row r="303" spans="1:9" x14ac:dyDescent="0.25">
      <c r="A303" s="52">
        <f t="shared" si="4"/>
        <v>302</v>
      </c>
      <c r="B303" s="29" t="s">
        <v>900</v>
      </c>
      <c r="C303" s="2" t="s">
        <v>909</v>
      </c>
      <c r="D303" s="13" t="s">
        <v>911</v>
      </c>
      <c r="E303" s="2" t="s">
        <v>40</v>
      </c>
      <c r="F303" s="19" t="s">
        <v>207</v>
      </c>
      <c r="G303" s="2" t="s">
        <v>30</v>
      </c>
      <c r="H303" s="52"/>
      <c r="I303" t="s">
        <v>118</v>
      </c>
    </row>
    <row r="304" spans="1:9" x14ac:dyDescent="0.25">
      <c r="A304" s="52">
        <f t="shared" si="4"/>
        <v>303</v>
      </c>
      <c r="B304" s="29" t="s">
        <v>900</v>
      </c>
      <c r="C304" s="2" t="s">
        <v>909</v>
      </c>
      <c r="D304" s="13" t="s">
        <v>911</v>
      </c>
      <c r="E304" s="2" t="s">
        <v>208</v>
      </c>
      <c r="F304" s="19" t="s">
        <v>209</v>
      </c>
      <c r="G304" s="2" t="s">
        <v>210</v>
      </c>
      <c r="H304" s="52"/>
      <c r="I304" t="s">
        <v>132</v>
      </c>
    </row>
    <row r="305" spans="1:9" x14ac:dyDescent="0.25">
      <c r="A305" s="52">
        <f t="shared" si="4"/>
        <v>304</v>
      </c>
      <c r="B305" s="29" t="s">
        <v>900</v>
      </c>
      <c r="C305" s="2" t="s">
        <v>909</v>
      </c>
      <c r="D305" s="13" t="s">
        <v>911</v>
      </c>
      <c r="E305" s="2" t="s">
        <v>192</v>
      </c>
      <c r="F305" s="19" t="s">
        <v>211</v>
      </c>
      <c r="G305" s="2" t="s">
        <v>210</v>
      </c>
      <c r="H305" s="52"/>
      <c r="I305" t="s">
        <v>132</v>
      </c>
    </row>
    <row r="306" spans="1:9" x14ac:dyDescent="0.25">
      <c r="A306" s="52">
        <f t="shared" si="4"/>
        <v>305</v>
      </c>
      <c r="B306" s="29" t="s">
        <v>900</v>
      </c>
      <c r="C306" s="2" t="s">
        <v>909</v>
      </c>
      <c r="D306" s="13" t="s">
        <v>911</v>
      </c>
      <c r="E306" s="2" t="s">
        <v>42</v>
      </c>
      <c r="F306" s="19" t="s">
        <v>58</v>
      </c>
      <c r="G306" s="2" t="s">
        <v>30</v>
      </c>
      <c r="H306" s="52"/>
      <c r="I306" t="s">
        <v>119</v>
      </c>
    </row>
    <row r="307" spans="1:9" x14ac:dyDescent="0.25">
      <c r="A307" s="52">
        <f t="shared" si="4"/>
        <v>306</v>
      </c>
      <c r="B307" s="29" t="s">
        <v>900</v>
      </c>
      <c r="C307" s="2" t="s">
        <v>909</v>
      </c>
      <c r="D307" s="13" t="s">
        <v>911</v>
      </c>
      <c r="E307" s="2" t="s">
        <v>43</v>
      </c>
      <c r="F307" s="19" t="s">
        <v>59</v>
      </c>
      <c r="G307" s="2" t="s">
        <v>30</v>
      </c>
      <c r="H307" s="52"/>
      <c r="I307" t="s">
        <v>120</v>
      </c>
    </row>
    <row r="308" spans="1:9" x14ac:dyDescent="0.25">
      <c r="A308" s="52">
        <f t="shared" si="4"/>
        <v>307</v>
      </c>
      <c r="B308" s="29" t="s">
        <v>900</v>
      </c>
      <c r="C308" s="2" t="s">
        <v>909</v>
      </c>
      <c r="D308" s="13" t="s">
        <v>911</v>
      </c>
      <c r="E308" s="2" t="s">
        <v>44</v>
      </c>
      <c r="F308" s="19" t="s">
        <v>60</v>
      </c>
      <c r="G308" s="2" t="s">
        <v>30</v>
      </c>
      <c r="H308" s="52"/>
      <c r="I308" t="s">
        <v>121</v>
      </c>
    </row>
    <row r="309" spans="1:9" x14ac:dyDescent="0.25">
      <c r="A309" s="52">
        <f t="shared" si="4"/>
        <v>308</v>
      </c>
      <c r="B309" s="29" t="s">
        <v>900</v>
      </c>
      <c r="C309" s="2" t="s">
        <v>909</v>
      </c>
      <c r="D309" s="13" t="s">
        <v>911</v>
      </c>
      <c r="E309" s="2" t="s">
        <v>45</v>
      </c>
      <c r="F309" s="19" t="s">
        <v>212</v>
      </c>
      <c r="G309" s="2" t="s">
        <v>30</v>
      </c>
      <c r="H309" s="52"/>
      <c r="I309" t="s">
        <v>405</v>
      </c>
    </row>
    <row r="310" spans="1:9" x14ac:dyDescent="0.25">
      <c r="A310" s="52">
        <f t="shared" si="4"/>
        <v>309</v>
      </c>
      <c r="B310" s="29" t="s">
        <v>900</v>
      </c>
      <c r="C310" s="2" t="s">
        <v>909</v>
      </c>
      <c r="D310" s="13" t="s">
        <v>911</v>
      </c>
      <c r="E310" s="2" t="s">
        <v>47</v>
      </c>
      <c r="F310" s="19" t="s">
        <v>213</v>
      </c>
      <c r="G310" s="2" t="s">
        <v>30</v>
      </c>
      <c r="H310" s="52"/>
      <c r="I310" t="s">
        <v>129</v>
      </c>
    </row>
    <row r="311" spans="1:9" x14ac:dyDescent="0.25">
      <c r="A311" s="52">
        <f t="shared" si="4"/>
        <v>310</v>
      </c>
      <c r="B311" s="29" t="s">
        <v>900</v>
      </c>
      <c r="C311" s="2" t="s">
        <v>909</v>
      </c>
      <c r="D311" s="13" t="s">
        <v>911</v>
      </c>
      <c r="E311" s="2" t="s">
        <v>48</v>
      </c>
      <c r="F311" s="19" t="s">
        <v>214</v>
      </c>
      <c r="G311" s="2" t="s">
        <v>30</v>
      </c>
      <c r="H311" s="52"/>
      <c r="I311" t="s">
        <v>407</v>
      </c>
    </row>
    <row r="312" spans="1:9" ht="14.45" customHeight="1" x14ac:dyDescent="0.25">
      <c r="A312" s="52">
        <f t="shared" si="4"/>
        <v>311</v>
      </c>
      <c r="B312" s="29" t="s">
        <v>900</v>
      </c>
      <c r="C312" s="2" t="s">
        <v>909</v>
      </c>
      <c r="D312" s="13" t="s">
        <v>911</v>
      </c>
      <c r="E312" s="2" t="s">
        <v>215</v>
      </c>
      <c r="F312" s="19" t="s">
        <v>216</v>
      </c>
      <c r="G312" s="2" t="s">
        <v>30</v>
      </c>
      <c r="H312" s="52"/>
      <c r="I312" t="s">
        <v>406</v>
      </c>
    </row>
    <row r="313" spans="1:9" x14ac:dyDescent="0.25">
      <c r="A313" s="52">
        <f t="shared" si="4"/>
        <v>312</v>
      </c>
      <c r="B313" s="29" t="s">
        <v>900</v>
      </c>
      <c r="C313" s="2" t="s">
        <v>909</v>
      </c>
      <c r="D313" s="13" t="s">
        <v>911</v>
      </c>
      <c r="E313" s="2" t="s">
        <v>217</v>
      </c>
      <c r="F313" s="19" t="s">
        <v>218</v>
      </c>
      <c r="G313" s="2" t="s">
        <v>30</v>
      </c>
      <c r="H313" s="52"/>
      <c r="I313" t="s">
        <v>360</v>
      </c>
    </row>
    <row r="314" spans="1:9" x14ac:dyDescent="0.25">
      <c r="A314" s="52">
        <f t="shared" si="4"/>
        <v>313</v>
      </c>
      <c r="B314" s="29" t="s">
        <v>900</v>
      </c>
      <c r="C314" s="2" t="s">
        <v>909</v>
      </c>
      <c r="D314" s="13" t="s">
        <v>911</v>
      </c>
      <c r="E314" s="2" t="s">
        <v>50</v>
      </c>
      <c r="F314" s="19" t="s">
        <v>219</v>
      </c>
      <c r="G314" s="2" t="s">
        <v>220</v>
      </c>
    </row>
    <row r="315" spans="1:9" x14ac:dyDescent="0.25">
      <c r="A315" s="52">
        <f t="shared" si="4"/>
        <v>314</v>
      </c>
      <c r="B315" s="29" t="s">
        <v>900</v>
      </c>
      <c r="C315" s="2" t="s">
        <v>909</v>
      </c>
      <c r="D315" s="13" t="s">
        <v>911</v>
      </c>
      <c r="E315" s="2" t="s">
        <v>221</v>
      </c>
      <c r="F315" s="19" t="s">
        <v>222</v>
      </c>
      <c r="G315" s="2" t="s">
        <v>220</v>
      </c>
    </row>
    <row r="316" spans="1:9" x14ac:dyDescent="0.25">
      <c r="A316" s="52">
        <f t="shared" si="4"/>
        <v>315</v>
      </c>
      <c r="B316" s="29" t="s">
        <v>900</v>
      </c>
      <c r="C316" s="2" t="s">
        <v>909</v>
      </c>
      <c r="D316" s="13" t="s">
        <v>911</v>
      </c>
      <c r="E316" s="2" t="s">
        <v>51</v>
      </c>
      <c r="F316" s="19" t="s">
        <v>223</v>
      </c>
      <c r="G316" s="2" t="s">
        <v>220</v>
      </c>
    </row>
    <row r="317" spans="1:9" x14ac:dyDescent="0.25">
      <c r="A317" s="52">
        <f t="shared" si="4"/>
        <v>316</v>
      </c>
      <c r="B317" s="29" t="s">
        <v>900</v>
      </c>
      <c r="C317" s="2" t="s">
        <v>909</v>
      </c>
      <c r="D317" s="13" t="s">
        <v>911</v>
      </c>
      <c r="E317" s="2" t="s">
        <v>224</v>
      </c>
      <c r="F317" s="19" t="s">
        <v>225</v>
      </c>
      <c r="G317" s="2" t="s">
        <v>30</v>
      </c>
    </row>
    <row r="318" spans="1:9" x14ac:dyDescent="0.25">
      <c r="A318" s="52">
        <f t="shared" si="4"/>
        <v>317</v>
      </c>
      <c r="B318" s="29" t="s">
        <v>900</v>
      </c>
      <c r="C318" s="2" t="s">
        <v>909</v>
      </c>
      <c r="D318" s="13" t="s">
        <v>911</v>
      </c>
      <c r="E318" s="2" t="s">
        <v>226</v>
      </c>
      <c r="F318" s="19" t="s">
        <v>227</v>
      </c>
      <c r="G318" s="2" t="s">
        <v>220</v>
      </c>
    </row>
    <row r="319" spans="1:9" x14ac:dyDescent="0.25">
      <c r="A319" s="52">
        <f t="shared" si="4"/>
        <v>318</v>
      </c>
      <c r="B319" s="29" t="s">
        <v>900</v>
      </c>
      <c r="C319" s="2" t="s">
        <v>909</v>
      </c>
      <c r="D319" s="13" t="s">
        <v>911</v>
      </c>
      <c r="E319" s="2" t="s">
        <v>228</v>
      </c>
      <c r="F319" s="19" t="s">
        <v>229</v>
      </c>
      <c r="G319" s="2" t="s">
        <v>30</v>
      </c>
    </row>
    <row r="320" spans="1:9" x14ac:dyDescent="0.25">
      <c r="A320" s="52">
        <f t="shared" si="4"/>
        <v>319</v>
      </c>
      <c r="B320" s="29" t="s">
        <v>900</v>
      </c>
      <c r="C320" s="2" t="s">
        <v>909</v>
      </c>
      <c r="D320" s="13" t="s">
        <v>911</v>
      </c>
      <c r="E320" s="2" t="s">
        <v>230</v>
      </c>
      <c r="F320" s="19" t="s">
        <v>64</v>
      </c>
      <c r="G320" s="2" t="s">
        <v>220</v>
      </c>
    </row>
    <row r="321" spans="1:9" x14ac:dyDescent="0.25">
      <c r="A321" s="52">
        <f t="shared" si="4"/>
        <v>320</v>
      </c>
      <c r="B321" s="29" t="s">
        <v>900</v>
      </c>
      <c r="C321" s="2" t="s">
        <v>909</v>
      </c>
      <c r="D321" s="13" t="s">
        <v>911</v>
      </c>
      <c r="E321" s="2" t="s">
        <v>231</v>
      </c>
      <c r="F321" s="19" t="s">
        <v>232</v>
      </c>
      <c r="G321" s="2" t="s">
        <v>220</v>
      </c>
    </row>
    <row r="322" spans="1:9" x14ac:dyDescent="0.25">
      <c r="A322" s="52">
        <f t="shared" si="4"/>
        <v>321</v>
      </c>
      <c r="B322" s="29" t="s">
        <v>900</v>
      </c>
      <c r="C322" s="2" t="s">
        <v>909</v>
      </c>
      <c r="D322" s="13" t="s">
        <v>912</v>
      </c>
      <c r="E322" s="2" t="s">
        <v>259</v>
      </c>
      <c r="F322" s="19" t="s">
        <v>199</v>
      </c>
      <c r="G322" s="2" t="s">
        <v>30</v>
      </c>
      <c r="H322" s="53" t="s">
        <v>108</v>
      </c>
      <c r="I322" t="s">
        <v>108</v>
      </c>
    </row>
    <row r="323" spans="1:9" x14ac:dyDescent="0.25">
      <c r="A323" s="52">
        <f t="shared" si="4"/>
        <v>322</v>
      </c>
      <c r="B323" s="29" t="s">
        <v>900</v>
      </c>
      <c r="C323" s="2" t="s">
        <v>909</v>
      </c>
      <c r="D323" s="13" t="s">
        <v>912</v>
      </c>
      <c r="E323" s="2" t="s">
        <v>33</v>
      </c>
      <c r="F323" s="19" t="s">
        <v>69</v>
      </c>
      <c r="G323" s="2" t="s">
        <v>30</v>
      </c>
      <c r="H323" s="53" t="s">
        <v>114</v>
      </c>
      <c r="I323" t="s">
        <v>114</v>
      </c>
    </row>
    <row r="324" spans="1:9" x14ac:dyDescent="0.25">
      <c r="A324" s="52">
        <f t="shared" ref="A324:A387" si="5">+A323+1</f>
        <v>323</v>
      </c>
      <c r="B324" s="29" t="s">
        <v>900</v>
      </c>
      <c r="C324" s="2" t="s">
        <v>909</v>
      </c>
      <c r="D324" s="13" t="s">
        <v>912</v>
      </c>
      <c r="E324" s="2" t="s">
        <v>233</v>
      </c>
      <c r="F324" s="19" t="s">
        <v>234</v>
      </c>
      <c r="G324" s="2" t="s">
        <v>220</v>
      </c>
      <c r="H324" s="52" t="s">
        <v>393</v>
      </c>
      <c r="I324" t="s">
        <v>393</v>
      </c>
    </row>
    <row r="325" spans="1:9" x14ac:dyDescent="0.25">
      <c r="A325" s="52">
        <f t="shared" si="5"/>
        <v>324</v>
      </c>
      <c r="B325" s="29" t="s">
        <v>900</v>
      </c>
      <c r="C325" s="2" t="s">
        <v>909</v>
      </c>
      <c r="D325" s="13" t="s">
        <v>912</v>
      </c>
      <c r="E325" s="2" t="s">
        <v>72</v>
      </c>
      <c r="F325" s="19" t="s">
        <v>235</v>
      </c>
      <c r="G325" s="2" t="s">
        <v>220</v>
      </c>
      <c r="H325" s="52" t="s">
        <v>395</v>
      </c>
    </row>
    <row r="326" spans="1:9" x14ac:dyDescent="0.25">
      <c r="A326" s="52">
        <f t="shared" si="5"/>
        <v>325</v>
      </c>
      <c r="B326" s="29" t="s">
        <v>900</v>
      </c>
      <c r="C326" s="2" t="s">
        <v>909</v>
      </c>
      <c r="D326" s="13" t="s">
        <v>912</v>
      </c>
      <c r="E326" s="2" t="s">
        <v>74</v>
      </c>
      <c r="F326" s="19" t="s">
        <v>236</v>
      </c>
      <c r="G326" s="2" t="s">
        <v>220</v>
      </c>
      <c r="H326" s="52" t="s">
        <v>386</v>
      </c>
      <c r="I326" t="s">
        <v>386</v>
      </c>
    </row>
    <row r="327" spans="1:9" x14ac:dyDescent="0.25">
      <c r="A327" s="52">
        <f t="shared" si="5"/>
        <v>326</v>
      </c>
      <c r="B327" s="29" t="s">
        <v>900</v>
      </c>
      <c r="C327" s="2" t="s">
        <v>909</v>
      </c>
      <c r="D327" s="13" t="s">
        <v>912</v>
      </c>
      <c r="E327" s="2" t="s">
        <v>237</v>
      </c>
      <c r="F327" s="19" t="s">
        <v>71</v>
      </c>
      <c r="G327" s="2" t="s">
        <v>30</v>
      </c>
      <c r="H327" s="52" t="s">
        <v>131</v>
      </c>
      <c r="I327" t="s">
        <v>131</v>
      </c>
    </row>
    <row r="328" spans="1:9" x14ac:dyDescent="0.25">
      <c r="A328" s="52">
        <f t="shared" si="5"/>
        <v>327</v>
      </c>
      <c r="B328" s="29" t="s">
        <v>900</v>
      </c>
      <c r="C328" s="2" t="s">
        <v>909</v>
      </c>
      <c r="D328" s="13" t="s">
        <v>912</v>
      </c>
      <c r="E328" s="2" t="s">
        <v>76</v>
      </c>
      <c r="F328" s="19" t="s">
        <v>73</v>
      </c>
      <c r="G328" s="2" t="s">
        <v>30</v>
      </c>
      <c r="H328" s="52" t="s">
        <v>126</v>
      </c>
      <c r="I328" t="s">
        <v>408</v>
      </c>
    </row>
    <row r="329" spans="1:9" x14ac:dyDescent="0.25">
      <c r="A329" s="52">
        <f t="shared" si="5"/>
        <v>328</v>
      </c>
      <c r="B329" s="29" t="s">
        <v>900</v>
      </c>
      <c r="C329" s="2" t="s">
        <v>909</v>
      </c>
      <c r="D329" s="13" t="s">
        <v>912</v>
      </c>
      <c r="E329" s="2" t="s">
        <v>77</v>
      </c>
      <c r="F329" s="19" t="s">
        <v>193</v>
      </c>
      <c r="G329" s="2" t="s">
        <v>30</v>
      </c>
      <c r="H329" s="54" t="s">
        <v>913</v>
      </c>
      <c r="I329" t="s">
        <v>131</v>
      </c>
    </row>
    <row r="330" spans="1:9" ht="25.5" x14ac:dyDescent="0.25">
      <c r="A330" s="52">
        <f t="shared" si="5"/>
        <v>329</v>
      </c>
      <c r="B330" s="29" t="s">
        <v>900</v>
      </c>
      <c r="C330" s="2" t="s">
        <v>909</v>
      </c>
      <c r="D330" s="13" t="s">
        <v>912</v>
      </c>
      <c r="E330" s="2" t="s">
        <v>78</v>
      </c>
      <c r="F330" s="19" t="s">
        <v>238</v>
      </c>
      <c r="G330" s="2" t="s">
        <v>30</v>
      </c>
      <c r="H330" s="52">
        <v>0</v>
      </c>
    </row>
    <row r="331" spans="1:9" x14ac:dyDescent="0.25">
      <c r="A331" s="52">
        <f t="shared" si="5"/>
        <v>330</v>
      </c>
      <c r="B331" s="29" t="s">
        <v>900</v>
      </c>
      <c r="C331" s="2" t="s">
        <v>909</v>
      </c>
      <c r="D331" s="13" t="s">
        <v>912</v>
      </c>
      <c r="E331" s="2" t="s">
        <v>239</v>
      </c>
      <c r="F331" s="19" t="s">
        <v>240</v>
      </c>
      <c r="G331" s="2" t="s">
        <v>30</v>
      </c>
      <c r="H331" s="54" t="s">
        <v>409</v>
      </c>
    </row>
    <row r="332" spans="1:9" x14ac:dyDescent="0.25">
      <c r="A332" s="52">
        <f t="shared" si="5"/>
        <v>331</v>
      </c>
      <c r="B332" s="29" t="s">
        <v>900</v>
      </c>
      <c r="C332" s="2" t="s">
        <v>909</v>
      </c>
      <c r="D332" s="13" t="s">
        <v>912</v>
      </c>
      <c r="E332" s="2" t="s">
        <v>241</v>
      </c>
      <c r="F332" s="19" t="s">
        <v>242</v>
      </c>
      <c r="G332" s="2" t="s">
        <v>220</v>
      </c>
      <c r="H332" s="54" t="s">
        <v>132</v>
      </c>
    </row>
    <row r="333" spans="1:9" x14ac:dyDescent="0.25">
      <c r="A333" s="52">
        <f t="shared" si="5"/>
        <v>332</v>
      </c>
      <c r="B333" s="29" t="s">
        <v>900</v>
      </c>
      <c r="C333" s="2" t="s">
        <v>909</v>
      </c>
      <c r="D333" s="13" t="s">
        <v>912</v>
      </c>
      <c r="E333" s="2" t="s">
        <v>243</v>
      </c>
      <c r="F333" s="19" t="s">
        <v>80</v>
      </c>
      <c r="G333" s="2" t="s">
        <v>30</v>
      </c>
      <c r="H333" s="52" t="s">
        <v>1130</v>
      </c>
    </row>
    <row r="334" spans="1:9" ht="25.5" x14ac:dyDescent="0.25">
      <c r="A334" s="52">
        <f t="shared" si="5"/>
        <v>333</v>
      </c>
      <c r="B334" s="29" t="s">
        <v>900</v>
      </c>
      <c r="C334" s="2" t="s">
        <v>909</v>
      </c>
      <c r="D334" s="13" t="s">
        <v>912</v>
      </c>
      <c r="E334" s="2" t="s">
        <v>244</v>
      </c>
      <c r="F334" s="19" t="s">
        <v>245</v>
      </c>
      <c r="G334" s="2" t="s">
        <v>220</v>
      </c>
      <c r="H334" s="52" t="s">
        <v>1126</v>
      </c>
    </row>
    <row r="335" spans="1:9" x14ac:dyDescent="0.25">
      <c r="A335" s="52">
        <f t="shared" si="5"/>
        <v>334</v>
      </c>
      <c r="B335" s="29" t="s">
        <v>900</v>
      </c>
      <c r="C335" s="2" t="s">
        <v>909</v>
      </c>
      <c r="D335" s="13" t="s">
        <v>912</v>
      </c>
      <c r="E335" s="2" t="s">
        <v>246</v>
      </c>
      <c r="F335" s="19" t="s">
        <v>247</v>
      </c>
      <c r="G335" s="2" t="s">
        <v>248</v>
      </c>
      <c r="H335" s="54" t="s">
        <v>132</v>
      </c>
    </row>
    <row r="336" spans="1:9" x14ac:dyDescent="0.25">
      <c r="A336" s="52">
        <f t="shared" si="5"/>
        <v>335</v>
      </c>
      <c r="B336" s="29" t="s">
        <v>900</v>
      </c>
      <c r="C336" s="2" t="s">
        <v>909</v>
      </c>
      <c r="D336" s="13" t="s">
        <v>912</v>
      </c>
      <c r="E336" s="2" t="s">
        <v>249</v>
      </c>
      <c r="F336" s="19" t="s">
        <v>250</v>
      </c>
      <c r="G336" s="2" t="s">
        <v>248</v>
      </c>
      <c r="H336" s="54" t="s">
        <v>132</v>
      </c>
    </row>
    <row r="337" spans="1:9" x14ac:dyDescent="0.25">
      <c r="A337" s="52">
        <f t="shared" si="5"/>
        <v>336</v>
      </c>
      <c r="B337" s="29" t="s">
        <v>900</v>
      </c>
      <c r="C337" s="2" t="s">
        <v>909</v>
      </c>
      <c r="D337" s="13" t="s">
        <v>912</v>
      </c>
      <c r="E337" s="2" t="s">
        <v>251</v>
      </c>
      <c r="F337" s="19" t="s">
        <v>252</v>
      </c>
      <c r="G337" s="2" t="s">
        <v>30</v>
      </c>
      <c r="H337" s="52" t="s">
        <v>1131</v>
      </c>
      <c r="I337" t="s">
        <v>410</v>
      </c>
    </row>
    <row r="338" spans="1:9" x14ac:dyDescent="0.25">
      <c r="A338" s="52">
        <f t="shared" si="5"/>
        <v>337</v>
      </c>
      <c r="B338" s="29" t="s">
        <v>900</v>
      </c>
      <c r="C338" s="2" t="s">
        <v>909</v>
      </c>
      <c r="D338" s="13" t="s">
        <v>1108</v>
      </c>
      <c r="E338" s="2" t="s">
        <v>259</v>
      </c>
      <c r="F338" s="19" t="s">
        <v>199</v>
      </c>
      <c r="G338" s="2" t="s">
        <v>30</v>
      </c>
      <c r="H338" s="54" t="s">
        <v>130</v>
      </c>
    </row>
    <row r="339" spans="1:9" x14ac:dyDescent="0.25">
      <c r="A339" s="52">
        <f t="shared" si="5"/>
        <v>338</v>
      </c>
      <c r="B339" s="29" t="s">
        <v>900</v>
      </c>
      <c r="C339" s="2" t="s">
        <v>909</v>
      </c>
      <c r="D339" s="13" t="s">
        <v>1108</v>
      </c>
      <c r="E339" s="13" t="s">
        <v>33</v>
      </c>
      <c r="F339" s="18" t="s">
        <v>69</v>
      </c>
      <c r="G339" s="2" t="s">
        <v>30</v>
      </c>
      <c r="H339" s="54" t="s">
        <v>114</v>
      </c>
    </row>
    <row r="340" spans="1:9" x14ac:dyDescent="0.25">
      <c r="A340" s="52">
        <f t="shared" si="5"/>
        <v>339</v>
      </c>
      <c r="B340" s="29" t="s">
        <v>900</v>
      </c>
      <c r="C340" s="2" t="s">
        <v>909</v>
      </c>
      <c r="D340" s="13" t="s">
        <v>1108</v>
      </c>
      <c r="E340" s="13" t="s">
        <v>197</v>
      </c>
      <c r="F340" s="18" t="s">
        <v>182</v>
      </c>
      <c r="G340" s="2" t="s">
        <v>30</v>
      </c>
      <c r="H340" t="s">
        <v>1123</v>
      </c>
    </row>
    <row r="341" spans="1:9" x14ac:dyDescent="0.25">
      <c r="A341" s="52">
        <f t="shared" si="5"/>
        <v>340</v>
      </c>
      <c r="B341" s="29" t="s">
        <v>900</v>
      </c>
      <c r="C341" s="2" t="s">
        <v>909</v>
      </c>
      <c r="D341" s="13" t="s">
        <v>1109</v>
      </c>
      <c r="E341" s="2" t="s">
        <v>259</v>
      </c>
      <c r="F341" s="19" t="s">
        <v>199</v>
      </c>
      <c r="G341" s="2" t="s">
        <v>30</v>
      </c>
      <c r="H341" s="53" t="s">
        <v>108</v>
      </c>
    </row>
    <row r="342" spans="1:9" x14ac:dyDescent="0.25">
      <c r="A342" s="52">
        <f t="shared" si="5"/>
        <v>341</v>
      </c>
      <c r="B342" s="29" t="s">
        <v>900</v>
      </c>
      <c r="C342" s="2" t="s">
        <v>909</v>
      </c>
      <c r="D342" s="13" t="s">
        <v>1109</v>
      </c>
      <c r="E342" s="13" t="s">
        <v>33</v>
      </c>
      <c r="F342" s="18" t="s">
        <v>69</v>
      </c>
      <c r="G342" s="2" t="s">
        <v>30</v>
      </c>
      <c r="H342" s="54" t="s">
        <v>114</v>
      </c>
    </row>
    <row r="343" spans="1:9" x14ac:dyDescent="0.25">
      <c r="A343" s="52">
        <f t="shared" si="5"/>
        <v>342</v>
      </c>
      <c r="B343" s="29" t="s">
        <v>900</v>
      </c>
      <c r="C343" s="2" t="s">
        <v>909</v>
      </c>
      <c r="D343" s="13" t="s">
        <v>1109</v>
      </c>
      <c r="E343" s="13" t="s">
        <v>85</v>
      </c>
      <c r="F343" s="18" t="s">
        <v>88</v>
      </c>
      <c r="G343" s="2" t="s">
        <v>30</v>
      </c>
    </row>
    <row r="344" spans="1:9" x14ac:dyDescent="0.25">
      <c r="A344" s="52">
        <f t="shared" si="5"/>
        <v>343</v>
      </c>
      <c r="B344" s="29" t="s">
        <v>900</v>
      </c>
      <c r="C344" s="2" t="s">
        <v>909</v>
      </c>
      <c r="D344" s="13" t="s">
        <v>1109</v>
      </c>
      <c r="E344" s="13" t="s">
        <v>86</v>
      </c>
      <c r="F344" s="18" t="s">
        <v>89</v>
      </c>
      <c r="G344" s="2" t="s">
        <v>30</v>
      </c>
    </row>
    <row r="345" spans="1:9" x14ac:dyDescent="0.25">
      <c r="A345" s="52">
        <f t="shared" si="5"/>
        <v>344</v>
      </c>
      <c r="B345" s="29" t="s">
        <v>900</v>
      </c>
      <c r="C345" s="2" t="s">
        <v>909</v>
      </c>
      <c r="D345" s="13" t="s">
        <v>1109</v>
      </c>
      <c r="E345" s="13" t="s">
        <v>87</v>
      </c>
      <c r="F345" s="18" t="s">
        <v>90</v>
      </c>
      <c r="G345" s="2" t="s">
        <v>30</v>
      </c>
    </row>
    <row r="346" spans="1:9" x14ac:dyDescent="0.25">
      <c r="A346" s="52">
        <f t="shared" si="5"/>
        <v>345</v>
      </c>
      <c r="B346" s="29" t="s">
        <v>900</v>
      </c>
      <c r="C346" s="2" t="s">
        <v>909</v>
      </c>
      <c r="D346" s="13" t="s">
        <v>1042</v>
      </c>
      <c r="E346" s="2" t="s">
        <v>259</v>
      </c>
      <c r="F346" s="19" t="s">
        <v>199</v>
      </c>
      <c r="G346" s="2" t="s">
        <v>30</v>
      </c>
      <c r="H346" s="53" t="s">
        <v>108</v>
      </c>
    </row>
    <row r="347" spans="1:9" x14ac:dyDescent="0.25">
      <c r="A347" s="52">
        <f t="shared" si="5"/>
        <v>346</v>
      </c>
      <c r="B347" s="29" t="s">
        <v>900</v>
      </c>
      <c r="C347" s="2" t="s">
        <v>909</v>
      </c>
      <c r="D347" s="13" t="s">
        <v>1042</v>
      </c>
      <c r="E347" s="2" t="s">
        <v>33</v>
      </c>
      <c r="F347" s="18" t="s">
        <v>69</v>
      </c>
      <c r="G347" s="2" t="s">
        <v>30</v>
      </c>
      <c r="H347" s="54" t="s">
        <v>114</v>
      </c>
    </row>
    <row r="348" spans="1:9" x14ac:dyDescent="0.25">
      <c r="A348" s="52">
        <f t="shared" si="5"/>
        <v>347</v>
      </c>
      <c r="B348" s="29" t="s">
        <v>900</v>
      </c>
      <c r="C348" s="2" t="s">
        <v>909</v>
      </c>
      <c r="D348" s="13" t="s">
        <v>1042</v>
      </c>
      <c r="E348" s="2" t="s">
        <v>259</v>
      </c>
      <c r="F348" s="19" t="s">
        <v>1043</v>
      </c>
      <c r="G348" s="2" t="s">
        <v>30</v>
      </c>
      <c r="H348" t="s">
        <v>1332</v>
      </c>
    </row>
    <row r="349" spans="1:9" x14ac:dyDescent="0.25">
      <c r="A349" s="52">
        <f t="shared" si="5"/>
        <v>348</v>
      </c>
      <c r="B349" s="29" t="s">
        <v>900</v>
      </c>
      <c r="C349" s="2" t="s">
        <v>909</v>
      </c>
      <c r="D349" s="13" t="s">
        <v>1042</v>
      </c>
      <c r="E349" s="2" t="s">
        <v>33</v>
      </c>
      <c r="F349" s="18" t="s">
        <v>1024</v>
      </c>
      <c r="G349" s="2" t="s">
        <v>30</v>
      </c>
      <c r="H349" t="s">
        <v>1329</v>
      </c>
    </row>
    <row r="350" spans="1:9" x14ac:dyDescent="0.25">
      <c r="A350" s="52">
        <f t="shared" si="5"/>
        <v>349</v>
      </c>
      <c r="B350" s="29" t="s">
        <v>900</v>
      </c>
      <c r="C350" s="2" t="s">
        <v>909</v>
      </c>
      <c r="D350" s="13" t="s">
        <v>1042</v>
      </c>
      <c r="E350" s="2" t="s">
        <v>267</v>
      </c>
      <c r="F350" s="18" t="s">
        <v>23</v>
      </c>
      <c r="G350" s="2" t="s">
        <v>30</v>
      </c>
      <c r="H350" s="52"/>
    </row>
    <row r="351" spans="1:9" x14ac:dyDescent="0.25">
      <c r="A351" s="52">
        <f t="shared" si="5"/>
        <v>350</v>
      </c>
      <c r="B351" s="29" t="s">
        <v>900</v>
      </c>
      <c r="C351" s="2" t="s">
        <v>909</v>
      </c>
      <c r="D351" s="13" t="s">
        <v>1042</v>
      </c>
      <c r="E351" s="2" t="s">
        <v>40</v>
      </c>
      <c r="F351" s="18" t="s">
        <v>1026</v>
      </c>
      <c r="G351" s="2" t="s">
        <v>30</v>
      </c>
      <c r="H351" s="52"/>
    </row>
    <row r="352" spans="1:9" x14ac:dyDescent="0.25">
      <c r="A352" s="52">
        <f t="shared" si="5"/>
        <v>351</v>
      </c>
      <c r="B352" s="29" t="s">
        <v>900</v>
      </c>
      <c r="C352" s="2" t="s">
        <v>909</v>
      </c>
      <c r="D352" s="13" t="s">
        <v>1042</v>
      </c>
      <c r="E352" s="2" t="s">
        <v>42</v>
      </c>
      <c r="F352" s="18" t="s">
        <v>1027</v>
      </c>
      <c r="G352" s="2" t="s">
        <v>30</v>
      </c>
      <c r="H352" t="s">
        <v>1330</v>
      </c>
    </row>
    <row r="353" spans="1:9" x14ac:dyDescent="0.25">
      <c r="A353" s="52">
        <f t="shared" si="5"/>
        <v>352</v>
      </c>
      <c r="B353" s="29" t="s">
        <v>900</v>
      </c>
      <c r="C353" s="2" t="s">
        <v>909</v>
      </c>
      <c r="D353" s="13" t="s">
        <v>1042</v>
      </c>
      <c r="E353" s="2" t="s">
        <v>44</v>
      </c>
      <c r="F353" s="18" t="s">
        <v>1031</v>
      </c>
      <c r="G353" s="2" t="s">
        <v>30</v>
      </c>
      <c r="H353" s="52"/>
    </row>
    <row r="354" spans="1:9" x14ac:dyDescent="0.25">
      <c r="A354" s="52">
        <f t="shared" si="5"/>
        <v>353</v>
      </c>
      <c r="B354" s="29" t="s">
        <v>900</v>
      </c>
      <c r="C354" s="2" t="s">
        <v>909</v>
      </c>
      <c r="D354" s="13" t="s">
        <v>1042</v>
      </c>
      <c r="E354" s="2" t="s">
        <v>47</v>
      </c>
      <c r="F354" s="8" t="s">
        <v>61</v>
      </c>
      <c r="G354" s="2" t="s">
        <v>30</v>
      </c>
      <c r="H354" t="s">
        <v>1331</v>
      </c>
    </row>
    <row r="355" spans="1:9" x14ac:dyDescent="0.25">
      <c r="A355" s="52">
        <f t="shared" si="5"/>
        <v>354</v>
      </c>
      <c r="B355" s="29" t="s">
        <v>900</v>
      </c>
      <c r="C355" s="2" t="s">
        <v>909</v>
      </c>
      <c r="D355" s="13" t="s">
        <v>1042</v>
      </c>
      <c r="E355" s="13" t="s">
        <v>1028</v>
      </c>
      <c r="F355" s="18" t="s">
        <v>62</v>
      </c>
      <c r="G355" s="3" t="s">
        <v>30</v>
      </c>
      <c r="H355" s="54" t="s">
        <v>1318</v>
      </c>
    </row>
    <row r="356" spans="1:9" x14ac:dyDescent="0.25">
      <c r="A356" s="52">
        <f t="shared" si="5"/>
        <v>355</v>
      </c>
      <c r="B356" s="29" t="s">
        <v>900</v>
      </c>
      <c r="C356" s="2" t="s">
        <v>909</v>
      </c>
      <c r="D356" s="13" t="s">
        <v>1042</v>
      </c>
      <c r="E356" s="13" t="s">
        <v>1029</v>
      </c>
      <c r="F356" s="18" t="s">
        <v>1031</v>
      </c>
      <c r="G356" s="3" t="s">
        <v>30</v>
      </c>
    </row>
    <row r="357" spans="1:9" x14ac:dyDescent="0.25">
      <c r="A357" s="52">
        <f t="shared" si="5"/>
        <v>356</v>
      </c>
      <c r="B357" s="29" t="s">
        <v>358</v>
      </c>
      <c r="C357" s="2" t="s">
        <v>411</v>
      </c>
      <c r="D357" s="1" t="s">
        <v>413</v>
      </c>
      <c r="E357" s="2" t="s">
        <v>259</v>
      </c>
      <c r="F357" s="19" t="s">
        <v>260</v>
      </c>
      <c r="G357" s="2" t="s">
        <v>30</v>
      </c>
      <c r="H357" s="53" t="s">
        <v>108</v>
      </c>
      <c r="I357" t="s">
        <v>108</v>
      </c>
    </row>
    <row r="358" spans="1:9" x14ac:dyDescent="0.25">
      <c r="A358" s="52">
        <f t="shared" si="5"/>
        <v>357</v>
      </c>
      <c r="B358" s="29" t="s">
        <v>358</v>
      </c>
      <c r="C358" s="2" t="s">
        <v>411</v>
      </c>
      <c r="D358" s="1" t="s">
        <v>413</v>
      </c>
      <c r="E358" s="2" t="s">
        <v>261</v>
      </c>
      <c r="F358" s="19" t="s">
        <v>200</v>
      </c>
      <c r="G358" s="2" t="s">
        <v>30</v>
      </c>
      <c r="H358" s="53" t="s">
        <v>1056</v>
      </c>
      <c r="I358" t="s">
        <v>385</v>
      </c>
    </row>
    <row r="359" spans="1:9" x14ac:dyDescent="0.25">
      <c r="A359" s="52">
        <f t="shared" si="5"/>
        <v>358</v>
      </c>
      <c r="B359" s="29" t="s">
        <v>358</v>
      </c>
      <c r="C359" s="2" t="s">
        <v>411</v>
      </c>
      <c r="D359" s="1" t="s">
        <v>413</v>
      </c>
      <c r="E359" s="2" t="s">
        <v>262</v>
      </c>
      <c r="F359" s="19" t="s">
        <v>263</v>
      </c>
      <c r="G359" s="2" t="s">
        <v>220</v>
      </c>
      <c r="H359" s="54" t="s">
        <v>962</v>
      </c>
      <c r="I359" s="31"/>
    </row>
    <row r="360" spans="1:9" x14ac:dyDescent="0.25">
      <c r="A360" s="52">
        <f t="shared" si="5"/>
        <v>359</v>
      </c>
      <c r="B360" s="29" t="s">
        <v>358</v>
      </c>
      <c r="C360" s="2" t="s">
        <v>411</v>
      </c>
      <c r="D360" s="1" t="s">
        <v>413</v>
      </c>
      <c r="E360" s="2" t="s">
        <v>264</v>
      </c>
      <c r="F360" s="19" t="s">
        <v>265</v>
      </c>
      <c r="G360" s="2" t="s">
        <v>30</v>
      </c>
      <c r="H360" s="53" t="s">
        <v>363</v>
      </c>
      <c r="I360" t="s">
        <v>363</v>
      </c>
    </row>
    <row r="361" spans="1:9" x14ac:dyDescent="0.25">
      <c r="A361" s="52">
        <f t="shared" si="5"/>
        <v>360</v>
      </c>
      <c r="B361" s="29" t="s">
        <v>358</v>
      </c>
      <c r="C361" s="2" t="s">
        <v>411</v>
      </c>
      <c r="D361" s="1" t="s">
        <v>413</v>
      </c>
      <c r="E361" s="2" t="s">
        <v>266</v>
      </c>
      <c r="F361" s="19" t="s">
        <v>20</v>
      </c>
      <c r="G361" s="2" t="s">
        <v>30</v>
      </c>
      <c r="H361" s="52" t="s">
        <v>110</v>
      </c>
      <c r="I361" t="s">
        <v>110</v>
      </c>
    </row>
    <row r="362" spans="1:9" x14ac:dyDescent="0.25">
      <c r="A362" s="52">
        <f t="shared" si="5"/>
        <v>361</v>
      </c>
      <c r="B362" s="29" t="s">
        <v>358</v>
      </c>
      <c r="C362" s="2" t="s">
        <v>411</v>
      </c>
      <c r="D362" s="1" t="s">
        <v>413</v>
      </c>
      <c r="E362" s="2" t="s">
        <v>267</v>
      </c>
      <c r="F362" s="19" t="s">
        <v>21</v>
      </c>
      <c r="G362" s="2" t="s">
        <v>30</v>
      </c>
      <c r="H362" s="52" t="s">
        <v>359</v>
      </c>
      <c r="I362" t="s">
        <v>359</v>
      </c>
    </row>
    <row r="363" spans="1:9" x14ac:dyDescent="0.25">
      <c r="A363" s="52">
        <f t="shared" si="5"/>
        <v>362</v>
      </c>
      <c r="B363" s="29" t="s">
        <v>358</v>
      </c>
      <c r="C363" s="2" t="s">
        <v>411</v>
      </c>
      <c r="D363" s="1" t="s">
        <v>413</v>
      </c>
      <c r="E363" s="2" t="s">
        <v>268</v>
      </c>
      <c r="F363" s="19" t="s">
        <v>269</v>
      </c>
      <c r="G363" s="2" t="s">
        <v>30</v>
      </c>
      <c r="H363" s="52" t="s">
        <v>1140</v>
      </c>
      <c r="I363" t="s">
        <v>364</v>
      </c>
    </row>
    <row r="364" spans="1:9" x14ac:dyDescent="0.25">
      <c r="A364" s="52">
        <f t="shared" si="5"/>
        <v>363</v>
      </c>
      <c r="B364" s="29" t="s">
        <v>358</v>
      </c>
      <c r="C364" s="2" t="s">
        <v>411</v>
      </c>
      <c r="D364" s="1" t="s">
        <v>413</v>
      </c>
      <c r="E364" s="2" t="s">
        <v>271</v>
      </c>
      <c r="F364" s="19" t="s">
        <v>23</v>
      </c>
      <c r="G364" s="2" t="s">
        <v>30</v>
      </c>
      <c r="H364" s="52" t="s">
        <v>1016</v>
      </c>
      <c r="I364" t="s">
        <v>360</v>
      </c>
    </row>
    <row r="365" spans="1:9" x14ac:dyDescent="0.25">
      <c r="A365" s="52">
        <f t="shared" si="5"/>
        <v>364</v>
      </c>
      <c r="B365" s="29" t="s">
        <v>358</v>
      </c>
      <c r="C365" s="2" t="s">
        <v>411</v>
      </c>
      <c r="D365" s="1" t="s">
        <v>413</v>
      </c>
      <c r="E365" s="2" t="s">
        <v>272</v>
      </c>
      <c r="F365" s="19" t="s">
        <v>273</v>
      </c>
      <c r="G365" s="2" t="s">
        <v>274</v>
      </c>
      <c r="H365" s="54" t="s">
        <v>963</v>
      </c>
      <c r="I365" s="31"/>
    </row>
    <row r="366" spans="1:9" x14ac:dyDescent="0.25">
      <c r="A366" s="52">
        <f t="shared" si="5"/>
        <v>365</v>
      </c>
      <c r="B366" s="29" t="s">
        <v>358</v>
      </c>
      <c r="C366" s="2" t="s">
        <v>411</v>
      </c>
      <c r="D366" s="1" t="s">
        <v>413</v>
      </c>
      <c r="E366" s="2" t="s">
        <v>275</v>
      </c>
      <c r="F366" s="19" t="s">
        <v>201</v>
      </c>
      <c r="G366" s="2" t="s">
        <v>220</v>
      </c>
      <c r="H366" s="52" t="s">
        <v>111</v>
      </c>
      <c r="I366" t="s">
        <v>111</v>
      </c>
    </row>
    <row r="367" spans="1:9" x14ac:dyDescent="0.25">
      <c r="A367" s="52">
        <f t="shared" si="5"/>
        <v>366</v>
      </c>
      <c r="B367" s="29" t="s">
        <v>358</v>
      </c>
      <c r="C367" s="2" t="s">
        <v>411</v>
      </c>
      <c r="D367" s="1" t="s">
        <v>413</v>
      </c>
      <c r="E367" s="2" t="s">
        <v>12</v>
      </c>
      <c r="F367" s="19" t="s">
        <v>276</v>
      </c>
      <c r="G367" s="2" t="s">
        <v>220</v>
      </c>
      <c r="H367" s="52" t="s">
        <v>400</v>
      </c>
      <c r="I367" t="s">
        <v>400</v>
      </c>
    </row>
    <row r="368" spans="1:9" x14ac:dyDescent="0.25">
      <c r="A368" s="52">
        <f t="shared" si="5"/>
        <v>367</v>
      </c>
      <c r="B368" s="29" t="s">
        <v>358</v>
      </c>
      <c r="C368" s="2" t="s">
        <v>411</v>
      </c>
      <c r="D368" s="1" t="s">
        <v>413</v>
      </c>
      <c r="E368" s="2" t="s">
        <v>13</v>
      </c>
      <c r="F368" s="19" t="s">
        <v>202</v>
      </c>
      <c r="G368" s="2" t="s">
        <v>220</v>
      </c>
      <c r="H368" s="52" t="s">
        <v>112</v>
      </c>
      <c r="I368" t="s">
        <v>112</v>
      </c>
    </row>
    <row r="369" spans="1:9" ht="25.5" x14ac:dyDescent="0.25">
      <c r="A369" s="52">
        <f t="shared" si="5"/>
        <v>368</v>
      </c>
      <c r="B369" s="29" t="s">
        <v>358</v>
      </c>
      <c r="C369" s="2" t="s">
        <v>411</v>
      </c>
      <c r="D369" s="1" t="s">
        <v>413</v>
      </c>
      <c r="E369" s="2" t="s">
        <v>14</v>
      </c>
      <c r="F369" s="19" t="s">
        <v>277</v>
      </c>
      <c r="G369" s="2" t="s">
        <v>220</v>
      </c>
      <c r="H369" s="54" t="s">
        <v>361</v>
      </c>
      <c r="I369" t="s">
        <v>361</v>
      </c>
    </row>
    <row r="370" spans="1:9" ht="25.5" x14ac:dyDescent="0.25">
      <c r="A370" s="52">
        <f t="shared" si="5"/>
        <v>369</v>
      </c>
      <c r="B370" s="29" t="s">
        <v>358</v>
      </c>
      <c r="C370" s="2" t="s">
        <v>411</v>
      </c>
      <c r="D370" s="1" t="s">
        <v>413</v>
      </c>
      <c r="E370" s="2" t="s">
        <v>15</v>
      </c>
      <c r="F370" s="19" t="s">
        <v>278</v>
      </c>
      <c r="G370" s="2" t="s">
        <v>220</v>
      </c>
      <c r="H370" s="54" t="s">
        <v>362</v>
      </c>
      <c r="I370" t="s">
        <v>362</v>
      </c>
    </row>
    <row r="371" spans="1:9" x14ac:dyDescent="0.25">
      <c r="A371" s="52">
        <f t="shared" si="5"/>
        <v>370</v>
      </c>
      <c r="B371" s="29" t="s">
        <v>358</v>
      </c>
      <c r="C371" s="2" t="s">
        <v>411</v>
      </c>
      <c r="D371" s="1" t="s">
        <v>413</v>
      </c>
      <c r="E371" s="2" t="s">
        <v>279</v>
      </c>
      <c r="F371" s="19" t="s">
        <v>280</v>
      </c>
      <c r="G371" s="2" t="s">
        <v>220</v>
      </c>
      <c r="H371" s="53" t="s">
        <v>844</v>
      </c>
      <c r="I371" t="s">
        <v>388</v>
      </c>
    </row>
    <row r="372" spans="1:9" x14ac:dyDescent="0.25">
      <c r="A372" s="52">
        <f t="shared" si="5"/>
        <v>371</v>
      </c>
      <c r="B372" s="29" t="s">
        <v>358</v>
      </c>
      <c r="C372" s="2" t="s">
        <v>411</v>
      </c>
      <c r="D372" s="1" t="s">
        <v>413</v>
      </c>
      <c r="E372" s="2" t="s">
        <v>281</v>
      </c>
      <c r="F372" s="19" t="s">
        <v>282</v>
      </c>
      <c r="G372" s="2" t="s">
        <v>30</v>
      </c>
      <c r="H372" s="52" t="s">
        <v>946</v>
      </c>
      <c r="I372" t="s">
        <v>128</v>
      </c>
    </row>
    <row r="373" spans="1:9" x14ac:dyDescent="0.25">
      <c r="A373" s="52">
        <f t="shared" si="5"/>
        <v>372</v>
      </c>
      <c r="B373" s="29" t="s">
        <v>358</v>
      </c>
      <c r="C373" s="2" t="s">
        <v>411</v>
      </c>
      <c r="D373" s="1" t="s">
        <v>413</v>
      </c>
      <c r="E373" s="2" t="s">
        <v>283</v>
      </c>
      <c r="F373" s="19" t="s">
        <v>284</v>
      </c>
      <c r="G373" s="2" t="s">
        <v>30</v>
      </c>
      <c r="H373" s="52" t="s">
        <v>1017</v>
      </c>
      <c r="I373" s="31"/>
    </row>
    <row r="374" spans="1:9" x14ac:dyDescent="0.25">
      <c r="A374" s="52">
        <f t="shared" si="5"/>
        <v>373</v>
      </c>
      <c r="B374" s="29" t="s">
        <v>358</v>
      </c>
      <c r="C374" s="2" t="s">
        <v>411</v>
      </c>
      <c r="D374" s="1" t="s">
        <v>413</v>
      </c>
      <c r="E374" s="2" t="s">
        <v>285</v>
      </c>
      <c r="F374" s="19" t="s">
        <v>286</v>
      </c>
      <c r="G374" s="2" t="s">
        <v>220</v>
      </c>
      <c r="H374" s="52" t="s">
        <v>1018</v>
      </c>
      <c r="I374" s="31"/>
    </row>
    <row r="375" spans="1:9" x14ac:dyDescent="0.25">
      <c r="A375" s="52">
        <f t="shared" si="5"/>
        <v>374</v>
      </c>
      <c r="B375" s="29" t="s">
        <v>358</v>
      </c>
      <c r="C375" s="2" t="s">
        <v>411</v>
      </c>
      <c r="D375" s="1" t="s">
        <v>413</v>
      </c>
      <c r="E375" s="2" t="s">
        <v>287</v>
      </c>
      <c r="F375" s="19" t="s">
        <v>288</v>
      </c>
      <c r="G375" s="2" t="s">
        <v>220</v>
      </c>
      <c r="I375" s="31"/>
    </row>
    <row r="376" spans="1:9" x14ac:dyDescent="0.25">
      <c r="A376" s="52">
        <f t="shared" si="5"/>
        <v>375</v>
      </c>
      <c r="B376" s="29" t="s">
        <v>358</v>
      </c>
      <c r="C376" s="2" t="s">
        <v>411</v>
      </c>
      <c r="D376" s="1" t="s">
        <v>413</v>
      </c>
      <c r="E376" s="2"/>
      <c r="F376" s="19" t="s">
        <v>29</v>
      </c>
      <c r="G376" s="2" t="s">
        <v>31</v>
      </c>
      <c r="H376" s="54" t="s">
        <v>132</v>
      </c>
    </row>
    <row r="377" spans="1:9" x14ac:dyDescent="0.25">
      <c r="A377" s="52">
        <f t="shared" si="5"/>
        <v>376</v>
      </c>
      <c r="B377" s="29" t="s">
        <v>358</v>
      </c>
      <c r="C377" s="2" t="s">
        <v>411</v>
      </c>
      <c r="D377" s="1" t="s">
        <v>414</v>
      </c>
      <c r="E377" s="2" t="s">
        <v>259</v>
      </c>
      <c r="F377" s="19" t="s">
        <v>260</v>
      </c>
      <c r="G377" s="2" t="s">
        <v>30</v>
      </c>
      <c r="H377" s="53" t="s">
        <v>108</v>
      </c>
      <c r="I377" t="s">
        <v>108</v>
      </c>
    </row>
    <row r="378" spans="1:9" x14ac:dyDescent="0.25">
      <c r="A378" s="52">
        <f t="shared" si="5"/>
        <v>377</v>
      </c>
      <c r="B378" s="29" t="s">
        <v>358</v>
      </c>
      <c r="C378" s="2" t="s">
        <v>411</v>
      </c>
      <c r="D378" s="1" t="s">
        <v>414</v>
      </c>
      <c r="E378" s="2" t="s">
        <v>84</v>
      </c>
      <c r="F378" s="19" t="s">
        <v>289</v>
      </c>
      <c r="G378" s="2" t="s">
        <v>30</v>
      </c>
      <c r="H378" s="53" t="s">
        <v>114</v>
      </c>
      <c r="I378" t="s">
        <v>114</v>
      </c>
    </row>
    <row r="379" spans="1:9" x14ac:dyDescent="0.25">
      <c r="A379" s="52">
        <f t="shared" si="5"/>
        <v>378</v>
      </c>
      <c r="B379" s="29" t="s">
        <v>358</v>
      </c>
      <c r="C379" s="2" t="s">
        <v>411</v>
      </c>
      <c r="D379" s="1" t="s">
        <v>414</v>
      </c>
      <c r="E379" s="2" t="s">
        <v>34</v>
      </c>
      <c r="F379" s="19" t="s">
        <v>290</v>
      </c>
      <c r="G379" s="2" t="s">
        <v>30</v>
      </c>
      <c r="H379" s="52" t="s">
        <v>401</v>
      </c>
      <c r="I379" t="s">
        <v>128</v>
      </c>
    </row>
    <row r="380" spans="1:9" x14ac:dyDescent="0.25">
      <c r="A380" s="52">
        <f t="shared" si="5"/>
        <v>379</v>
      </c>
      <c r="B380" s="29" t="s">
        <v>358</v>
      </c>
      <c r="C380" s="2" t="s">
        <v>411</v>
      </c>
      <c r="D380" s="1" t="s">
        <v>414</v>
      </c>
      <c r="E380" s="2" t="s">
        <v>291</v>
      </c>
      <c r="F380" s="19" t="s">
        <v>292</v>
      </c>
      <c r="G380" s="2" t="s">
        <v>30</v>
      </c>
      <c r="H380" s="52" t="s">
        <v>368</v>
      </c>
      <c r="I380" t="s">
        <v>367</v>
      </c>
    </row>
    <row r="381" spans="1:9" x14ac:dyDescent="0.25">
      <c r="A381" s="52">
        <f t="shared" si="5"/>
        <v>380</v>
      </c>
      <c r="B381" s="29" t="s">
        <v>358</v>
      </c>
      <c r="C381" s="2" t="s">
        <v>411</v>
      </c>
      <c r="D381" s="1" t="s">
        <v>414</v>
      </c>
      <c r="E381" s="2" t="s">
        <v>293</v>
      </c>
      <c r="F381" s="19" t="s">
        <v>294</v>
      </c>
      <c r="G381" s="2" t="s">
        <v>30</v>
      </c>
      <c r="H381" s="52" t="s">
        <v>115</v>
      </c>
      <c r="I381" t="s">
        <v>124</v>
      </c>
    </row>
    <row r="382" spans="1:9" ht="14.45" customHeight="1" x14ac:dyDescent="0.25">
      <c r="A382" s="52">
        <f t="shared" si="5"/>
        <v>381</v>
      </c>
      <c r="B382" s="29" t="s">
        <v>358</v>
      </c>
      <c r="C382" s="2" t="s">
        <v>411</v>
      </c>
      <c r="D382" s="1" t="s">
        <v>414</v>
      </c>
      <c r="E382" s="2" t="s">
        <v>295</v>
      </c>
      <c r="F382" s="19" t="s">
        <v>296</v>
      </c>
      <c r="G382" s="2" t="s">
        <v>30</v>
      </c>
      <c r="H382" s="54" t="s">
        <v>842</v>
      </c>
      <c r="I382" t="s">
        <v>127</v>
      </c>
    </row>
    <row r="383" spans="1:9" ht="14.45" customHeight="1" x14ac:dyDescent="0.25">
      <c r="A383" s="52">
        <f t="shared" si="5"/>
        <v>382</v>
      </c>
      <c r="B383" s="29" t="s">
        <v>358</v>
      </c>
      <c r="C383" s="2" t="s">
        <v>411</v>
      </c>
      <c r="D383" s="1" t="s">
        <v>414</v>
      </c>
      <c r="E383" s="2" t="s">
        <v>297</v>
      </c>
      <c r="F383" s="19" t="s">
        <v>298</v>
      </c>
      <c r="G383" s="2" t="s">
        <v>30</v>
      </c>
      <c r="H383" s="52" t="s">
        <v>119</v>
      </c>
      <c r="I383" t="s">
        <v>119</v>
      </c>
    </row>
    <row r="384" spans="1:9" ht="14.45" customHeight="1" x14ac:dyDescent="0.25">
      <c r="A384" s="52">
        <f t="shared" si="5"/>
        <v>383</v>
      </c>
      <c r="B384" s="29" t="s">
        <v>358</v>
      </c>
      <c r="C384" s="2" t="s">
        <v>411</v>
      </c>
      <c r="D384" s="1" t="s">
        <v>414</v>
      </c>
      <c r="E384" s="2" t="s">
        <v>299</v>
      </c>
      <c r="F384" s="19" t="s">
        <v>59</v>
      </c>
      <c r="G384" s="2" t="s">
        <v>30</v>
      </c>
      <c r="H384" s="52" t="s">
        <v>120</v>
      </c>
      <c r="I384" t="s">
        <v>120</v>
      </c>
    </row>
    <row r="385" spans="1:9" ht="14.45" customHeight="1" x14ac:dyDescent="0.25">
      <c r="A385" s="52">
        <f t="shared" si="5"/>
        <v>384</v>
      </c>
      <c r="B385" s="29" t="s">
        <v>358</v>
      </c>
      <c r="C385" s="2" t="s">
        <v>411</v>
      </c>
      <c r="D385" s="1" t="s">
        <v>414</v>
      </c>
      <c r="E385" s="2" t="s">
        <v>300</v>
      </c>
      <c r="F385" s="19" t="s">
        <v>301</v>
      </c>
      <c r="G385" s="2" t="s">
        <v>30</v>
      </c>
      <c r="H385" s="52" t="s">
        <v>404</v>
      </c>
      <c r="I385" t="s">
        <v>121</v>
      </c>
    </row>
    <row r="386" spans="1:9" ht="27.6" customHeight="1" x14ac:dyDescent="0.25">
      <c r="A386" s="52">
        <f t="shared" si="5"/>
        <v>385</v>
      </c>
      <c r="B386" s="29" t="s">
        <v>358</v>
      </c>
      <c r="C386" s="2" t="s">
        <v>411</v>
      </c>
      <c r="D386" s="1" t="s">
        <v>414</v>
      </c>
      <c r="E386" s="2" t="s">
        <v>302</v>
      </c>
      <c r="F386" s="19" t="s">
        <v>303</v>
      </c>
      <c r="G386" s="2" t="s">
        <v>220</v>
      </c>
      <c r="H386" s="52" t="s">
        <v>122</v>
      </c>
      <c r="I386" t="s">
        <v>122</v>
      </c>
    </row>
    <row r="387" spans="1:9" ht="14.45" customHeight="1" x14ac:dyDescent="0.25">
      <c r="A387" s="52">
        <f t="shared" si="5"/>
        <v>386</v>
      </c>
      <c r="B387" s="29" t="s">
        <v>358</v>
      </c>
      <c r="C387" s="2" t="s">
        <v>411</v>
      </c>
      <c r="D387" s="1" t="s">
        <v>414</v>
      </c>
      <c r="E387" s="2" t="s">
        <v>304</v>
      </c>
      <c r="F387" s="19" t="s">
        <v>305</v>
      </c>
      <c r="G387" s="2" t="s">
        <v>30</v>
      </c>
      <c r="H387" s="52" t="s">
        <v>405</v>
      </c>
      <c r="I387" t="s">
        <v>405</v>
      </c>
    </row>
    <row r="388" spans="1:9" ht="14.45" customHeight="1" x14ac:dyDescent="0.25">
      <c r="A388" s="52">
        <f t="shared" ref="A388:A451" si="6">+A387+1</f>
        <v>387</v>
      </c>
      <c r="B388" s="29" t="s">
        <v>358</v>
      </c>
      <c r="C388" s="2" t="s">
        <v>411</v>
      </c>
      <c r="D388" s="1" t="s">
        <v>414</v>
      </c>
      <c r="E388" s="2" t="s">
        <v>306</v>
      </c>
      <c r="F388" s="19" t="s">
        <v>307</v>
      </c>
      <c r="G388" s="2" t="s">
        <v>30</v>
      </c>
      <c r="H388" s="52" t="s">
        <v>129</v>
      </c>
      <c r="I388" t="s">
        <v>129</v>
      </c>
    </row>
    <row r="389" spans="1:9" ht="14.45" customHeight="1" x14ac:dyDescent="0.25">
      <c r="A389" s="52">
        <f t="shared" si="6"/>
        <v>388</v>
      </c>
      <c r="B389" s="29" t="s">
        <v>358</v>
      </c>
      <c r="C389" s="2" t="s">
        <v>411</v>
      </c>
      <c r="D389" s="1" t="s">
        <v>414</v>
      </c>
      <c r="E389" s="2" t="s">
        <v>217</v>
      </c>
      <c r="F389" s="19" t="s">
        <v>214</v>
      </c>
      <c r="G389" s="2" t="s">
        <v>30</v>
      </c>
      <c r="H389" s="52" t="s">
        <v>407</v>
      </c>
      <c r="I389" t="s">
        <v>407</v>
      </c>
    </row>
    <row r="390" spans="1:9" ht="26.1" customHeight="1" x14ac:dyDescent="0.25">
      <c r="A390" s="52">
        <f t="shared" si="6"/>
        <v>389</v>
      </c>
      <c r="B390" s="29" t="s">
        <v>358</v>
      </c>
      <c r="C390" s="2" t="s">
        <v>411</v>
      </c>
      <c r="D390" s="1" t="s">
        <v>414</v>
      </c>
      <c r="E390" s="2" t="s">
        <v>308</v>
      </c>
      <c r="F390" s="19" t="s">
        <v>309</v>
      </c>
      <c r="G390" s="2" t="s">
        <v>30</v>
      </c>
      <c r="H390" s="52" t="s">
        <v>406</v>
      </c>
      <c r="I390" t="s">
        <v>406</v>
      </c>
    </row>
    <row r="391" spans="1:9" ht="14.45" customHeight="1" x14ac:dyDescent="0.25">
      <c r="A391" s="52">
        <f t="shared" si="6"/>
        <v>390</v>
      </c>
      <c r="B391" s="29" t="s">
        <v>358</v>
      </c>
      <c r="C391" s="2" t="s">
        <v>411</v>
      </c>
      <c r="D391" s="1" t="s">
        <v>414</v>
      </c>
      <c r="E391" s="2" t="s">
        <v>310</v>
      </c>
      <c r="F391" s="19" t="s">
        <v>311</v>
      </c>
      <c r="G391" s="2" t="s">
        <v>30</v>
      </c>
      <c r="H391" s="54" t="s">
        <v>964</v>
      </c>
      <c r="I391" s="31"/>
    </row>
    <row r="392" spans="1:9" ht="14.45" customHeight="1" x14ac:dyDescent="0.25">
      <c r="A392" s="52">
        <f t="shared" si="6"/>
        <v>391</v>
      </c>
      <c r="B392" s="29" t="s">
        <v>358</v>
      </c>
      <c r="C392" s="2" t="s">
        <v>411</v>
      </c>
      <c r="D392" s="1" t="s">
        <v>414</v>
      </c>
      <c r="E392" s="2" t="s">
        <v>312</v>
      </c>
      <c r="F392" s="19" t="s">
        <v>223</v>
      </c>
      <c r="G392" s="2" t="s">
        <v>220</v>
      </c>
      <c r="I392" s="31"/>
    </row>
    <row r="393" spans="1:9" ht="14.45" customHeight="1" x14ac:dyDescent="0.25">
      <c r="A393" s="52">
        <f t="shared" si="6"/>
        <v>392</v>
      </c>
      <c r="B393" s="29" t="s">
        <v>358</v>
      </c>
      <c r="C393" s="2" t="s">
        <v>411</v>
      </c>
      <c r="D393" s="1" t="s">
        <v>414</v>
      </c>
      <c r="E393" s="2" t="s">
        <v>313</v>
      </c>
      <c r="F393" s="19" t="s">
        <v>227</v>
      </c>
      <c r="G393" s="2" t="s">
        <v>30</v>
      </c>
      <c r="H393" s="54" t="s">
        <v>959</v>
      </c>
      <c r="I393" s="31"/>
    </row>
    <row r="394" spans="1:9" ht="14.45" customHeight="1" x14ac:dyDescent="0.25">
      <c r="A394" s="52">
        <f t="shared" si="6"/>
        <v>393</v>
      </c>
      <c r="B394" s="29" t="s">
        <v>358</v>
      </c>
      <c r="C394" s="2" t="s">
        <v>411</v>
      </c>
      <c r="D394" s="1" t="s">
        <v>414</v>
      </c>
      <c r="E394" s="2" t="s">
        <v>314</v>
      </c>
      <c r="F394" s="19" t="s">
        <v>225</v>
      </c>
      <c r="G394" s="2" t="s">
        <v>30</v>
      </c>
      <c r="H394" s="54" t="s">
        <v>1120</v>
      </c>
      <c r="I394" s="31"/>
    </row>
    <row r="395" spans="1:9" ht="14.45" customHeight="1" x14ac:dyDescent="0.25">
      <c r="A395" s="52">
        <f t="shared" si="6"/>
        <v>394</v>
      </c>
      <c r="B395" s="29" t="s">
        <v>358</v>
      </c>
      <c r="C395" s="2" t="s">
        <v>411</v>
      </c>
      <c r="D395" s="1" t="s">
        <v>414</v>
      </c>
      <c r="E395" s="2" t="s">
        <v>315</v>
      </c>
      <c r="F395" s="19" t="s">
        <v>203</v>
      </c>
      <c r="G395" s="2" t="s">
        <v>30</v>
      </c>
      <c r="H395" s="52" t="s">
        <v>1047</v>
      </c>
      <c r="I395" t="s">
        <v>412</v>
      </c>
    </row>
    <row r="396" spans="1:9" ht="21.95" customHeight="1" x14ac:dyDescent="0.25">
      <c r="A396" s="52">
        <f t="shared" si="6"/>
        <v>395</v>
      </c>
      <c r="B396" s="29" t="s">
        <v>358</v>
      </c>
      <c r="C396" s="2" t="s">
        <v>411</v>
      </c>
      <c r="D396" s="1" t="s">
        <v>414</v>
      </c>
      <c r="E396" s="2" t="s">
        <v>316</v>
      </c>
      <c r="F396" s="19" t="s">
        <v>317</v>
      </c>
      <c r="G396" s="2" t="s">
        <v>220</v>
      </c>
      <c r="I396" s="31"/>
    </row>
    <row r="397" spans="1:9" x14ac:dyDescent="0.25">
      <c r="A397" s="52">
        <f t="shared" si="6"/>
        <v>396</v>
      </c>
      <c r="B397" s="29" t="s">
        <v>358</v>
      </c>
      <c r="C397" s="2" t="s">
        <v>411</v>
      </c>
      <c r="D397" s="1" t="s">
        <v>414</v>
      </c>
      <c r="E397" s="2" t="s">
        <v>318</v>
      </c>
      <c r="F397" s="19" t="s">
        <v>319</v>
      </c>
      <c r="G397" s="2" t="s">
        <v>30</v>
      </c>
      <c r="H397" s="75" t="s">
        <v>1053</v>
      </c>
      <c r="I397" s="31"/>
    </row>
    <row r="398" spans="1:9" x14ac:dyDescent="0.25">
      <c r="A398" s="52">
        <f t="shared" si="6"/>
        <v>397</v>
      </c>
      <c r="B398" s="29" t="s">
        <v>358</v>
      </c>
      <c r="C398" s="2" t="s">
        <v>411</v>
      </c>
      <c r="D398" s="1" t="s">
        <v>414</v>
      </c>
      <c r="E398" s="2" t="s">
        <v>320</v>
      </c>
      <c r="F398" s="19" t="s">
        <v>321</v>
      </c>
      <c r="G398" s="2" t="s">
        <v>30</v>
      </c>
      <c r="H398" s="75" t="s">
        <v>1054</v>
      </c>
      <c r="I398" s="31"/>
    </row>
    <row r="399" spans="1:9" x14ac:dyDescent="0.25">
      <c r="A399" s="52">
        <f t="shared" si="6"/>
        <v>398</v>
      </c>
      <c r="B399" s="29" t="s">
        <v>358</v>
      </c>
      <c r="C399" s="2" t="s">
        <v>411</v>
      </c>
      <c r="D399" s="1" t="s">
        <v>414</v>
      </c>
      <c r="E399" s="2" t="s">
        <v>322</v>
      </c>
      <c r="F399" s="19" t="s">
        <v>323</v>
      </c>
      <c r="G399" s="2" t="s">
        <v>30</v>
      </c>
      <c r="H399" s="75" t="s">
        <v>1291</v>
      </c>
      <c r="I399" s="31"/>
    </row>
    <row r="400" spans="1:9" x14ac:dyDescent="0.25">
      <c r="A400" s="52">
        <f t="shared" si="6"/>
        <v>399</v>
      </c>
      <c r="B400" s="29" t="s">
        <v>358</v>
      </c>
      <c r="C400" s="2" t="s">
        <v>411</v>
      </c>
      <c r="D400" s="1" t="s">
        <v>414</v>
      </c>
      <c r="E400" s="2" t="s">
        <v>324</v>
      </c>
      <c r="F400" s="19" t="s">
        <v>325</v>
      </c>
      <c r="G400" s="2" t="s">
        <v>274</v>
      </c>
    </row>
    <row r="401" spans="1:9" x14ac:dyDescent="0.25">
      <c r="A401" s="52">
        <f t="shared" si="6"/>
        <v>400</v>
      </c>
      <c r="B401" s="29" t="s">
        <v>358</v>
      </c>
      <c r="C401" s="2" t="s">
        <v>411</v>
      </c>
      <c r="D401" s="1" t="s">
        <v>414</v>
      </c>
      <c r="E401" s="2" t="s">
        <v>326</v>
      </c>
      <c r="F401" s="19" t="s">
        <v>327</v>
      </c>
      <c r="G401" s="2" t="s">
        <v>328</v>
      </c>
    </row>
    <row r="402" spans="1:9" x14ac:dyDescent="0.25">
      <c r="A402" s="52">
        <f t="shared" si="6"/>
        <v>401</v>
      </c>
      <c r="B402" s="29" t="s">
        <v>358</v>
      </c>
      <c r="C402" s="2" t="s">
        <v>411</v>
      </c>
      <c r="D402" s="1" t="s">
        <v>414</v>
      </c>
      <c r="E402" s="2" t="s">
        <v>329</v>
      </c>
      <c r="F402" s="19" t="s">
        <v>330</v>
      </c>
      <c r="G402" s="2" t="s">
        <v>331</v>
      </c>
    </row>
    <row r="403" spans="1:9" x14ac:dyDescent="0.25">
      <c r="A403" s="52">
        <f t="shared" si="6"/>
        <v>402</v>
      </c>
      <c r="B403" s="29" t="s">
        <v>358</v>
      </c>
      <c r="C403" s="2" t="s">
        <v>411</v>
      </c>
      <c r="D403" s="1" t="s">
        <v>414</v>
      </c>
      <c r="E403" s="2"/>
      <c r="F403" s="19" t="s">
        <v>29</v>
      </c>
      <c r="G403" s="2" t="s">
        <v>31</v>
      </c>
      <c r="H403" s="54" t="s">
        <v>132</v>
      </c>
    </row>
    <row r="404" spans="1:9" ht="38.25" x14ac:dyDescent="0.25">
      <c r="A404" s="52">
        <f t="shared" si="6"/>
        <v>403</v>
      </c>
      <c r="B404" s="29" t="s">
        <v>358</v>
      </c>
      <c r="C404" s="86" t="s">
        <v>411</v>
      </c>
      <c r="D404" s="87" t="s">
        <v>414</v>
      </c>
      <c r="E404" s="88" t="s">
        <v>1320</v>
      </c>
      <c r="F404" s="89" t="s">
        <v>1324</v>
      </c>
      <c r="G404" s="86" t="s">
        <v>220</v>
      </c>
      <c r="H404" s="75" t="s">
        <v>1333</v>
      </c>
      <c r="I404" s="31"/>
    </row>
    <row r="405" spans="1:9" ht="25.5" x14ac:dyDescent="0.25">
      <c r="A405" s="52">
        <f t="shared" si="6"/>
        <v>404</v>
      </c>
      <c r="B405" s="29" t="s">
        <v>358</v>
      </c>
      <c r="C405" s="86" t="s">
        <v>411</v>
      </c>
      <c r="D405" s="87" t="s">
        <v>414</v>
      </c>
      <c r="E405" s="88" t="s">
        <v>1321</v>
      </c>
      <c r="F405" s="89" t="s">
        <v>1325</v>
      </c>
      <c r="G405" s="86" t="s">
        <v>220</v>
      </c>
      <c r="H405" s="75" t="s">
        <v>1334</v>
      </c>
      <c r="I405" s="31"/>
    </row>
    <row r="406" spans="1:9" ht="38.25" x14ac:dyDescent="0.25">
      <c r="A406" s="52">
        <f t="shared" si="6"/>
        <v>405</v>
      </c>
      <c r="B406" s="29" t="s">
        <v>358</v>
      </c>
      <c r="C406" s="86" t="s">
        <v>411</v>
      </c>
      <c r="D406" s="87" t="s">
        <v>414</v>
      </c>
      <c r="E406" s="88" t="s">
        <v>1322</v>
      </c>
      <c r="F406" s="89" t="s">
        <v>1326</v>
      </c>
      <c r="G406" s="86" t="s">
        <v>220</v>
      </c>
      <c r="H406" s="75" t="s">
        <v>1335</v>
      </c>
      <c r="I406" s="31"/>
    </row>
    <row r="407" spans="1:9" ht="23.45" customHeight="1" x14ac:dyDescent="0.25">
      <c r="A407" s="52">
        <f t="shared" si="6"/>
        <v>406</v>
      </c>
      <c r="B407" s="29" t="s">
        <v>358</v>
      </c>
      <c r="C407" s="86" t="s">
        <v>411</v>
      </c>
      <c r="D407" s="87" t="s">
        <v>414</v>
      </c>
      <c r="E407" s="88" t="s">
        <v>1323</v>
      </c>
      <c r="F407" s="89" t="s">
        <v>1327</v>
      </c>
      <c r="G407" s="86" t="s">
        <v>220</v>
      </c>
      <c r="H407" s="75" t="s">
        <v>1328</v>
      </c>
      <c r="I407" s="31"/>
    </row>
    <row r="408" spans="1:9" x14ac:dyDescent="0.25">
      <c r="A408" s="52">
        <f t="shared" si="6"/>
        <v>407</v>
      </c>
      <c r="B408" s="29" t="s">
        <v>358</v>
      </c>
      <c r="C408" s="2" t="s">
        <v>411</v>
      </c>
      <c r="D408" s="1" t="s">
        <v>415</v>
      </c>
      <c r="E408" s="2" t="s">
        <v>259</v>
      </c>
      <c r="F408" s="19" t="s">
        <v>332</v>
      </c>
      <c r="G408" s="2" t="s">
        <v>30</v>
      </c>
      <c r="H408" s="53" t="s">
        <v>108</v>
      </c>
    </row>
    <row r="409" spans="1:9" x14ac:dyDescent="0.25">
      <c r="A409" s="52">
        <f t="shared" si="6"/>
        <v>408</v>
      </c>
      <c r="B409" s="29" t="s">
        <v>358</v>
      </c>
      <c r="C409" s="2" t="s">
        <v>411</v>
      </c>
      <c r="D409" s="1" t="s">
        <v>415</v>
      </c>
      <c r="E409" s="2" t="s">
        <v>84</v>
      </c>
      <c r="F409" s="19" t="s">
        <v>289</v>
      </c>
      <c r="G409" s="2" t="s">
        <v>30</v>
      </c>
      <c r="H409" s="53" t="s">
        <v>114</v>
      </c>
    </row>
    <row r="410" spans="1:9" x14ac:dyDescent="0.25">
      <c r="A410" s="52">
        <f t="shared" si="6"/>
        <v>409</v>
      </c>
      <c r="B410" s="29" t="s">
        <v>358</v>
      </c>
      <c r="C410" s="2" t="s">
        <v>411</v>
      </c>
      <c r="D410" s="1" t="s">
        <v>415</v>
      </c>
      <c r="E410" s="2" t="s">
        <v>333</v>
      </c>
      <c r="F410" s="19" t="s">
        <v>234</v>
      </c>
      <c r="G410" s="2" t="s">
        <v>220</v>
      </c>
      <c r="H410" s="52" t="s">
        <v>393</v>
      </c>
    </row>
    <row r="411" spans="1:9" ht="14.45" customHeight="1" x14ac:dyDescent="0.25">
      <c r="A411" s="52">
        <f t="shared" si="6"/>
        <v>410</v>
      </c>
      <c r="B411" s="29" t="s">
        <v>358</v>
      </c>
      <c r="C411" s="2" t="s">
        <v>411</v>
      </c>
      <c r="D411" s="1" t="s">
        <v>415</v>
      </c>
      <c r="E411" s="2" t="s">
        <v>334</v>
      </c>
      <c r="F411" s="19" t="s">
        <v>235</v>
      </c>
      <c r="G411" s="2" t="s">
        <v>220</v>
      </c>
      <c r="H411" s="52" t="s">
        <v>395</v>
      </c>
    </row>
    <row r="412" spans="1:9" ht="31.5" customHeight="1" x14ac:dyDescent="0.25">
      <c r="A412" s="52">
        <f t="shared" si="6"/>
        <v>411</v>
      </c>
      <c r="B412" s="29" t="s">
        <v>358</v>
      </c>
      <c r="C412" s="2" t="s">
        <v>411</v>
      </c>
      <c r="D412" s="1" t="s">
        <v>415</v>
      </c>
      <c r="E412" s="2" t="s">
        <v>335</v>
      </c>
      <c r="F412" s="19" t="s">
        <v>336</v>
      </c>
      <c r="G412" s="2" t="s">
        <v>30</v>
      </c>
      <c r="H412" s="54" t="s">
        <v>131</v>
      </c>
    </row>
    <row r="413" spans="1:9" ht="25.5" x14ac:dyDescent="0.25">
      <c r="A413" s="52">
        <f t="shared" si="6"/>
        <v>412</v>
      </c>
      <c r="B413" s="29" t="s">
        <v>358</v>
      </c>
      <c r="C413" s="2" t="s">
        <v>411</v>
      </c>
      <c r="D413" s="1" t="s">
        <v>415</v>
      </c>
      <c r="E413" s="2" t="s">
        <v>75</v>
      </c>
      <c r="F413" s="19" t="s">
        <v>337</v>
      </c>
      <c r="G413" s="2" t="s">
        <v>30</v>
      </c>
      <c r="H413" s="54" t="s">
        <v>126</v>
      </c>
    </row>
    <row r="414" spans="1:9" x14ac:dyDescent="0.25">
      <c r="A414" s="52">
        <f t="shared" si="6"/>
        <v>413</v>
      </c>
      <c r="B414" s="29" t="s">
        <v>358</v>
      </c>
      <c r="C414" s="2" t="s">
        <v>411</v>
      </c>
      <c r="D414" s="1" t="s">
        <v>415</v>
      </c>
      <c r="E414" s="2" t="s">
        <v>338</v>
      </c>
      <c r="F414" s="19" t="s">
        <v>193</v>
      </c>
      <c r="G414" s="2" t="s">
        <v>30</v>
      </c>
      <c r="H414" s="54" t="s">
        <v>913</v>
      </c>
    </row>
    <row r="415" spans="1:9" ht="25.5" x14ac:dyDescent="0.25">
      <c r="A415" s="52">
        <f t="shared" si="6"/>
        <v>414</v>
      </c>
      <c r="B415" s="29" t="s">
        <v>358</v>
      </c>
      <c r="C415" s="2" t="s">
        <v>411</v>
      </c>
      <c r="D415" s="1" t="s">
        <v>415</v>
      </c>
      <c r="E415" s="2" t="s">
        <v>339</v>
      </c>
      <c r="F415" s="19" t="s">
        <v>238</v>
      </c>
      <c r="G415" s="2" t="s">
        <v>220</v>
      </c>
    </row>
    <row r="416" spans="1:9" x14ac:dyDescent="0.25">
      <c r="A416" s="52">
        <f t="shared" si="6"/>
        <v>415</v>
      </c>
      <c r="B416" s="29" t="s">
        <v>358</v>
      </c>
      <c r="C416" s="2" t="s">
        <v>411</v>
      </c>
      <c r="D416" s="1" t="s">
        <v>415</v>
      </c>
      <c r="E416" s="2" t="s">
        <v>340</v>
      </c>
      <c r="F416" s="19" t="s">
        <v>341</v>
      </c>
      <c r="G416" s="2" t="s">
        <v>30</v>
      </c>
      <c r="H416" s="54" t="s">
        <v>409</v>
      </c>
    </row>
    <row r="417" spans="1:9" x14ac:dyDescent="0.25">
      <c r="A417" s="52">
        <f t="shared" si="6"/>
        <v>416</v>
      </c>
      <c r="B417" s="29" t="s">
        <v>358</v>
      </c>
      <c r="C417" s="2" t="s">
        <v>411</v>
      </c>
      <c r="D417" s="1" t="s">
        <v>415</v>
      </c>
      <c r="E417" s="2" t="s">
        <v>342</v>
      </c>
      <c r="F417" s="19" t="s">
        <v>343</v>
      </c>
      <c r="G417" s="2" t="s">
        <v>30</v>
      </c>
    </row>
    <row r="418" spans="1:9" x14ac:dyDescent="0.25">
      <c r="A418" s="52">
        <f t="shared" si="6"/>
        <v>417</v>
      </c>
      <c r="B418" s="29" t="s">
        <v>358</v>
      </c>
      <c r="C418" s="2" t="s">
        <v>411</v>
      </c>
      <c r="D418" s="1" t="s">
        <v>415</v>
      </c>
      <c r="E418" s="2" t="s">
        <v>344</v>
      </c>
      <c r="F418" s="19" t="s">
        <v>345</v>
      </c>
      <c r="G418" s="2" t="s">
        <v>30</v>
      </c>
      <c r="H418" s="52" t="s">
        <v>1130</v>
      </c>
    </row>
    <row r="419" spans="1:9" x14ac:dyDescent="0.25">
      <c r="A419" s="52">
        <f t="shared" si="6"/>
        <v>418</v>
      </c>
      <c r="B419" s="29" t="s">
        <v>358</v>
      </c>
      <c r="C419" s="2" t="s">
        <v>411</v>
      </c>
      <c r="D419" s="1" t="s">
        <v>415</v>
      </c>
      <c r="E419" s="2" t="s">
        <v>346</v>
      </c>
      <c r="F419" s="19" t="s">
        <v>347</v>
      </c>
      <c r="G419" s="2" t="s">
        <v>348</v>
      </c>
      <c r="H419" s="52" t="s">
        <v>1126</v>
      </c>
    </row>
    <row r="420" spans="1:9" ht="14.45" customHeight="1" x14ac:dyDescent="0.25">
      <c r="A420" s="52">
        <f t="shared" si="6"/>
        <v>419</v>
      </c>
      <c r="B420" s="29" t="s">
        <v>358</v>
      </c>
      <c r="C420" s="2" t="s">
        <v>411</v>
      </c>
      <c r="D420" s="1" t="s">
        <v>415</v>
      </c>
      <c r="E420" s="2" t="s">
        <v>349</v>
      </c>
      <c r="F420" s="19" t="s">
        <v>350</v>
      </c>
      <c r="G420" s="2" t="s">
        <v>348</v>
      </c>
    </row>
    <row r="421" spans="1:9" ht="14.45" customHeight="1" x14ac:dyDescent="0.25">
      <c r="A421" s="52">
        <f t="shared" si="6"/>
        <v>420</v>
      </c>
      <c r="B421" s="29" t="s">
        <v>358</v>
      </c>
      <c r="C421" s="2" t="s">
        <v>411</v>
      </c>
      <c r="D421" s="1" t="s">
        <v>415</v>
      </c>
      <c r="E421" s="2" t="s">
        <v>351</v>
      </c>
      <c r="F421" s="19" t="s">
        <v>352</v>
      </c>
      <c r="G421" s="2" t="s">
        <v>220</v>
      </c>
    </row>
    <row r="422" spans="1:9" x14ac:dyDescent="0.25">
      <c r="A422" s="52">
        <f t="shared" si="6"/>
        <v>421</v>
      </c>
      <c r="B422" s="29" t="s">
        <v>358</v>
      </c>
      <c r="C422" s="2" t="s">
        <v>411</v>
      </c>
      <c r="D422" s="1" t="s">
        <v>415</v>
      </c>
      <c r="E422" s="2" t="s">
        <v>246</v>
      </c>
      <c r="F422" s="19" t="s">
        <v>247</v>
      </c>
      <c r="G422" s="2" t="s">
        <v>248</v>
      </c>
    </row>
    <row r="423" spans="1:9" x14ac:dyDescent="0.25">
      <c r="A423" s="52">
        <f t="shared" si="6"/>
        <v>422</v>
      </c>
      <c r="B423" s="29" t="s">
        <v>358</v>
      </c>
      <c r="C423" s="2" t="s">
        <v>411</v>
      </c>
      <c r="D423" s="1" t="s">
        <v>415</v>
      </c>
      <c r="E423" s="2" t="s">
        <v>249</v>
      </c>
      <c r="F423" s="19" t="s">
        <v>250</v>
      </c>
      <c r="G423" s="2" t="s">
        <v>248</v>
      </c>
    </row>
    <row r="424" spans="1:9" x14ac:dyDescent="0.25">
      <c r="A424" s="52">
        <f t="shared" si="6"/>
        <v>423</v>
      </c>
      <c r="B424" s="29" t="s">
        <v>358</v>
      </c>
      <c r="C424" s="2" t="s">
        <v>411</v>
      </c>
      <c r="D424" s="1" t="s">
        <v>415</v>
      </c>
      <c r="E424" s="2" t="s">
        <v>320</v>
      </c>
      <c r="F424" s="19" t="s">
        <v>321</v>
      </c>
      <c r="G424" s="2" t="s">
        <v>30</v>
      </c>
      <c r="H424" s="75" t="s">
        <v>1054</v>
      </c>
      <c r="I424" s="31"/>
    </row>
    <row r="425" spans="1:9" x14ac:dyDescent="0.25">
      <c r="A425" s="52">
        <f t="shared" si="6"/>
        <v>424</v>
      </c>
      <c r="B425" s="29" t="s">
        <v>358</v>
      </c>
      <c r="C425" s="2" t="s">
        <v>411</v>
      </c>
      <c r="D425" s="1" t="s">
        <v>416</v>
      </c>
      <c r="E425" s="2" t="s">
        <v>259</v>
      </c>
      <c r="F425" s="19" t="s">
        <v>260</v>
      </c>
      <c r="G425" s="2" t="s">
        <v>30</v>
      </c>
      <c r="H425" s="54" t="s">
        <v>130</v>
      </c>
    </row>
    <row r="426" spans="1:9" x14ac:dyDescent="0.25">
      <c r="A426" s="52">
        <f t="shared" si="6"/>
        <v>425</v>
      </c>
      <c r="B426" s="29" t="s">
        <v>358</v>
      </c>
      <c r="C426" s="2" t="s">
        <v>411</v>
      </c>
      <c r="D426" s="1" t="s">
        <v>416</v>
      </c>
      <c r="E426" s="2" t="s">
        <v>84</v>
      </c>
      <c r="F426" s="19" t="s">
        <v>289</v>
      </c>
      <c r="G426" s="2" t="s">
        <v>30</v>
      </c>
      <c r="H426" s="54" t="s">
        <v>114</v>
      </c>
    </row>
    <row r="427" spans="1:9" x14ac:dyDescent="0.25">
      <c r="A427" s="52">
        <f t="shared" si="6"/>
        <v>426</v>
      </c>
      <c r="B427" s="29" t="s">
        <v>358</v>
      </c>
      <c r="C427" s="2" t="s">
        <v>411</v>
      </c>
      <c r="D427" s="1" t="s">
        <v>416</v>
      </c>
      <c r="E427" s="2" t="s">
        <v>353</v>
      </c>
      <c r="F427" s="18" t="s">
        <v>182</v>
      </c>
      <c r="G427" s="2" t="s">
        <v>30</v>
      </c>
      <c r="H427" t="s">
        <v>1123</v>
      </c>
    </row>
    <row r="428" spans="1:9" x14ac:dyDescent="0.25">
      <c r="A428" s="52">
        <f t="shared" si="6"/>
        <v>427</v>
      </c>
      <c r="B428" s="29" t="s">
        <v>358</v>
      </c>
      <c r="C428" s="2" t="s">
        <v>411</v>
      </c>
      <c r="D428" s="1" t="s">
        <v>812</v>
      </c>
      <c r="E428" s="2" t="s">
        <v>259</v>
      </c>
      <c r="F428" s="19" t="s">
        <v>260</v>
      </c>
      <c r="G428" s="2" t="s">
        <v>30</v>
      </c>
      <c r="H428" s="53" t="s">
        <v>108</v>
      </c>
    </row>
    <row r="429" spans="1:9" x14ac:dyDescent="0.25">
      <c r="A429" s="52">
        <f t="shared" si="6"/>
        <v>428</v>
      </c>
      <c r="B429" s="29" t="s">
        <v>358</v>
      </c>
      <c r="C429" s="2" t="s">
        <v>411</v>
      </c>
      <c r="D429" s="1" t="s">
        <v>812</v>
      </c>
      <c r="E429" s="2" t="s">
        <v>84</v>
      </c>
      <c r="F429" s="19" t="s">
        <v>289</v>
      </c>
      <c r="G429" s="2" t="s">
        <v>30</v>
      </c>
      <c r="H429" s="54" t="s">
        <v>114</v>
      </c>
    </row>
    <row r="430" spans="1:9" x14ac:dyDescent="0.25">
      <c r="A430" s="52">
        <f t="shared" si="6"/>
        <v>429</v>
      </c>
      <c r="B430" s="29" t="s">
        <v>358</v>
      </c>
      <c r="C430" s="2" t="s">
        <v>411</v>
      </c>
      <c r="D430" s="1" t="s">
        <v>812</v>
      </c>
      <c r="E430" s="2" t="s">
        <v>354</v>
      </c>
      <c r="F430" s="19" t="s">
        <v>88</v>
      </c>
      <c r="G430" s="2" t="s">
        <v>30</v>
      </c>
    </row>
    <row r="431" spans="1:9" x14ac:dyDescent="0.25">
      <c r="A431" s="52">
        <f t="shared" si="6"/>
        <v>430</v>
      </c>
      <c r="B431" s="29" t="s">
        <v>358</v>
      </c>
      <c r="C431" s="2" t="s">
        <v>411</v>
      </c>
      <c r="D431" s="1" t="s">
        <v>812</v>
      </c>
      <c r="E431" s="2" t="s">
        <v>355</v>
      </c>
      <c r="F431" s="19" t="s">
        <v>89</v>
      </c>
      <c r="G431" s="2" t="s">
        <v>30</v>
      </c>
    </row>
    <row r="432" spans="1:9" s="46" customFormat="1" x14ac:dyDescent="0.25">
      <c r="A432" s="52">
        <f t="shared" si="6"/>
        <v>431</v>
      </c>
      <c r="B432" s="29" t="s">
        <v>358</v>
      </c>
      <c r="C432" s="2" t="s">
        <v>411</v>
      </c>
      <c r="D432" s="1" t="s">
        <v>812</v>
      </c>
      <c r="E432" s="13" t="s">
        <v>87</v>
      </c>
      <c r="F432" s="18" t="s">
        <v>90</v>
      </c>
      <c r="G432" s="2" t="s">
        <v>30</v>
      </c>
      <c r="H432" s="54"/>
    </row>
    <row r="433" spans="1:8" x14ac:dyDescent="0.25">
      <c r="A433" s="52">
        <f t="shared" si="6"/>
        <v>432</v>
      </c>
      <c r="B433" s="29" t="s">
        <v>358</v>
      </c>
      <c r="C433" s="2" t="s">
        <v>411</v>
      </c>
      <c r="D433" s="1" t="s">
        <v>1032</v>
      </c>
      <c r="E433" s="13" t="s">
        <v>0</v>
      </c>
      <c r="F433" s="18" t="s">
        <v>260</v>
      </c>
      <c r="G433" s="2" t="s">
        <v>30</v>
      </c>
      <c r="H433" s="53" t="s">
        <v>108</v>
      </c>
    </row>
    <row r="434" spans="1:8" x14ac:dyDescent="0.25">
      <c r="A434" s="52">
        <f t="shared" si="6"/>
        <v>433</v>
      </c>
      <c r="B434" s="29" t="s">
        <v>358</v>
      </c>
      <c r="C434" s="2" t="s">
        <v>411</v>
      </c>
      <c r="D434" s="1" t="s">
        <v>1032</v>
      </c>
      <c r="E434" s="13" t="s">
        <v>33</v>
      </c>
      <c r="F434" s="19" t="s">
        <v>289</v>
      </c>
      <c r="G434" s="2" t="s">
        <v>30</v>
      </c>
      <c r="H434" s="54" t="s">
        <v>114</v>
      </c>
    </row>
    <row r="435" spans="1:8" x14ac:dyDescent="0.25">
      <c r="A435" s="52">
        <f t="shared" si="6"/>
        <v>434</v>
      </c>
      <c r="B435" s="29" t="s">
        <v>358</v>
      </c>
      <c r="C435" s="2" t="s">
        <v>411</v>
      </c>
      <c r="D435" s="1" t="s">
        <v>1032</v>
      </c>
      <c r="E435" s="13" t="s">
        <v>0</v>
      </c>
      <c r="F435" s="18" t="s">
        <v>1033</v>
      </c>
      <c r="G435" s="2" t="s">
        <v>30</v>
      </c>
      <c r="H435" t="s">
        <v>1332</v>
      </c>
    </row>
    <row r="436" spans="1:8" x14ac:dyDescent="0.25">
      <c r="A436" s="52">
        <f t="shared" si="6"/>
        <v>435</v>
      </c>
      <c r="B436" s="29" t="s">
        <v>358</v>
      </c>
      <c r="C436" s="2" t="s">
        <v>411</v>
      </c>
      <c r="D436" s="1" t="s">
        <v>1032</v>
      </c>
      <c r="E436" s="13" t="s">
        <v>33</v>
      </c>
      <c r="F436" s="19" t="s">
        <v>1034</v>
      </c>
      <c r="G436" s="2" t="s">
        <v>30</v>
      </c>
      <c r="H436" t="s">
        <v>1329</v>
      </c>
    </row>
    <row r="437" spans="1:8" x14ac:dyDescent="0.25">
      <c r="A437" s="52">
        <f t="shared" si="6"/>
        <v>436</v>
      </c>
      <c r="B437" s="29" t="s">
        <v>358</v>
      </c>
      <c r="C437" s="2" t="s">
        <v>411</v>
      </c>
      <c r="D437" s="1" t="s">
        <v>1032</v>
      </c>
      <c r="E437" s="13" t="s">
        <v>38</v>
      </c>
      <c r="F437" s="19" t="s">
        <v>1035</v>
      </c>
      <c r="G437" s="2" t="s">
        <v>30</v>
      </c>
    </row>
    <row r="438" spans="1:8" ht="14.45" customHeight="1" x14ac:dyDescent="0.25">
      <c r="A438" s="52">
        <f t="shared" si="6"/>
        <v>437</v>
      </c>
      <c r="B438" s="29" t="s">
        <v>358</v>
      </c>
      <c r="C438" s="2" t="s">
        <v>411</v>
      </c>
      <c r="D438" s="1" t="s">
        <v>1032</v>
      </c>
      <c r="E438" s="13" t="s">
        <v>40</v>
      </c>
      <c r="F438" s="19" t="s">
        <v>1036</v>
      </c>
      <c r="G438" s="2" t="s">
        <v>30</v>
      </c>
      <c r="H438" t="s">
        <v>1330</v>
      </c>
    </row>
    <row r="439" spans="1:8" x14ac:dyDescent="0.25">
      <c r="A439" s="52">
        <f t="shared" si="6"/>
        <v>438</v>
      </c>
      <c r="B439" s="29" t="s">
        <v>358</v>
      </c>
      <c r="C439" s="2" t="s">
        <v>411</v>
      </c>
      <c r="D439" s="1" t="s">
        <v>1032</v>
      </c>
      <c r="E439" s="13" t="s">
        <v>45</v>
      </c>
      <c r="F439" s="18" t="s">
        <v>1030</v>
      </c>
      <c r="G439" s="2" t="s">
        <v>30</v>
      </c>
      <c r="H439" s="54" t="s">
        <v>1318</v>
      </c>
    </row>
    <row r="440" spans="1:8" x14ac:dyDescent="0.25">
      <c r="A440" s="52">
        <f t="shared" si="6"/>
        <v>439</v>
      </c>
      <c r="B440" s="29" t="s">
        <v>358</v>
      </c>
      <c r="C440" s="2" t="s">
        <v>411</v>
      </c>
      <c r="D440" s="1" t="s">
        <v>1032</v>
      </c>
      <c r="E440" s="13" t="s">
        <v>48</v>
      </c>
      <c r="F440" s="8" t="s">
        <v>61</v>
      </c>
      <c r="G440" s="2" t="s">
        <v>30</v>
      </c>
      <c r="H440" t="s">
        <v>1331</v>
      </c>
    </row>
    <row r="441" spans="1:8" x14ac:dyDescent="0.25">
      <c r="A441" s="52">
        <f t="shared" si="6"/>
        <v>440</v>
      </c>
      <c r="B441" s="29" t="s">
        <v>358</v>
      </c>
      <c r="C441" s="2" t="s">
        <v>411</v>
      </c>
      <c r="D441" s="1" t="s">
        <v>1032</v>
      </c>
      <c r="E441" s="13" t="s">
        <v>1029</v>
      </c>
      <c r="F441" s="18" t="s">
        <v>1031</v>
      </c>
      <c r="G441" s="3" t="s">
        <v>30</v>
      </c>
    </row>
    <row r="442" spans="1:8" x14ac:dyDescent="0.25">
      <c r="A442" s="52">
        <f t="shared" si="6"/>
        <v>441</v>
      </c>
      <c r="B442" s="29" t="s">
        <v>358</v>
      </c>
      <c r="C442" s="2" t="s">
        <v>411</v>
      </c>
      <c r="D442" s="1" t="s">
        <v>1319</v>
      </c>
      <c r="E442" s="13" t="s">
        <v>0</v>
      </c>
      <c r="F442" s="19" t="s">
        <v>260</v>
      </c>
      <c r="G442" s="2" t="s">
        <v>30</v>
      </c>
      <c r="H442" s="53" t="s">
        <v>108</v>
      </c>
    </row>
    <row r="443" spans="1:8" x14ac:dyDescent="0.25">
      <c r="A443" s="52">
        <f t="shared" si="6"/>
        <v>442</v>
      </c>
      <c r="B443" s="29" t="s">
        <v>358</v>
      </c>
      <c r="C443" s="2" t="s">
        <v>411</v>
      </c>
      <c r="D443" s="1" t="s">
        <v>1319</v>
      </c>
      <c r="E443" s="13" t="s">
        <v>33</v>
      </c>
      <c r="F443" s="19" t="s">
        <v>289</v>
      </c>
      <c r="G443" s="2" t="s">
        <v>30</v>
      </c>
      <c r="H443" s="54" t="s">
        <v>114</v>
      </c>
    </row>
    <row r="444" spans="1:8" ht="39.950000000000003" customHeight="1" x14ac:dyDescent="0.25">
      <c r="A444" s="52">
        <f t="shared" si="6"/>
        <v>443</v>
      </c>
      <c r="B444" s="29" t="s">
        <v>358</v>
      </c>
      <c r="C444" s="2" t="s">
        <v>411</v>
      </c>
      <c r="D444" s="1" t="s">
        <v>1319</v>
      </c>
      <c r="E444" s="13" t="s">
        <v>1320</v>
      </c>
      <c r="F444" s="85" t="s">
        <v>1324</v>
      </c>
      <c r="G444" s="2" t="s">
        <v>220</v>
      </c>
      <c r="H444" s="75" t="s">
        <v>1333</v>
      </c>
    </row>
    <row r="445" spans="1:8" ht="32.1" customHeight="1" x14ac:dyDescent="0.25">
      <c r="A445" s="52">
        <f t="shared" si="6"/>
        <v>444</v>
      </c>
      <c r="B445" s="29" t="s">
        <v>358</v>
      </c>
      <c r="C445" s="2" t="s">
        <v>411</v>
      </c>
      <c r="D445" s="1" t="s">
        <v>1319</v>
      </c>
      <c r="E445" s="13" t="s">
        <v>1321</v>
      </c>
      <c r="F445" s="85" t="s">
        <v>1325</v>
      </c>
      <c r="G445" s="2" t="s">
        <v>220</v>
      </c>
      <c r="H445" s="75" t="s">
        <v>1334</v>
      </c>
    </row>
    <row r="446" spans="1:8" ht="27.95" customHeight="1" x14ac:dyDescent="0.25">
      <c r="A446" s="52">
        <f t="shared" si="6"/>
        <v>445</v>
      </c>
      <c r="B446" s="29" t="s">
        <v>358</v>
      </c>
      <c r="C446" s="2" t="s">
        <v>411</v>
      </c>
      <c r="D446" s="1" t="s">
        <v>1319</v>
      </c>
      <c r="E446" s="13" t="s">
        <v>1322</v>
      </c>
      <c r="F446" s="85" t="s">
        <v>1326</v>
      </c>
      <c r="G446" s="2" t="s">
        <v>220</v>
      </c>
      <c r="H446" s="75" t="s">
        <v>1335</v>
      </c>
    </row>
    <row r="447" spans="1:8" ht="24.6" customHeight="1" x14ac:dyDescent="0.25">
      <c r="A447" s="52">
        <f t="shared" si="6"/>
        <v>446</v>
      </c>
      <c r="B447" s="29" t="s">
        <v>358</v>
      </c>
      <c r="C447" s="2" t="s">
        <v>411</v>
      </c>
      <c r="D447" s="1" t="s">
        <v>1319</v>
      </c>
      <c r="E447" s="13" t="s">
        <v>1323</v>
      </c>
      <c r="F447" s="85" t="s">
        <v>1327</v>
      </c>
      <c r="G447" s="2" t="s">
        <v>220</v>
      </c>
      <c r="H447" s="75" t="s">
        <v>1328</v>
      </c>
    </row>
    <row r="448" spans="1:8" x14ac:dyDescent="0.25">
      <c r="A448" s="52">
        <f t="shared" si="6"/>
        <v>447</v>
      </c>
      <c r="B448" s="28" t="s">
        <v>915</v>
      </c>
      <c r="C448" s="13" t="s">
        <v>965</v>
      </c>
      <c r="D448" s="13" t="s">
        <v>966</v>
      </c>
      <c r="E448" s="13" t="s">
        <v>0</v>
      </c>
      <c r="F448" s="18" t="s">
        <v>16</v>
      </c>
      <c r="G448" s="14" t="s">
        <v>30</v>
      </c>
      <c r="H448" s="54" t="s">
        <v>130</v>
      </c>
    </row>
    <row r="449" spans="1:8" x14ac:dyDescent="0.25">
      <c r="A449" s="52">
        <f t="shared" si="6"/>
        <v>448</v>
      </c>
      <c r="B449" s="28" t="s">
        <v>915</v>
      </c>
      <c r="C449" s="13" t="s">
        <v>965</v>
      </c>
      <c r="D449" s="13" t="s">
        <v>966</v>
      </c>
      <c r="E449" s="2" t="s">
        <v>1</v>
      </c>
      <c r="F449" s="19" t="s">
        <v>17</v>
      </c>
      <c r="G449" s="4" t="s">
        <v>30</v>
      </c>
      <c r="H449" s="54" t="s">
        <v>108</v>
      </c>
    </row>
    <row r="450" spans="1:8" x14ac:dyDescent="0.25">
      <c r="A450" s="52">
        <f t="shared" si="6"/>
        <v>449</v>
      </c>
      <c r="B450" s="28" t="s">
        <v>915</v>
      </c>
      <c r="C450" s="13" t="s">
        <v>965</v>
      </c>
      <c r="D450" s="13" t="s">
        <v>966</v>
      </c>
      <c r="E450" s="1" t="s">
        <v>2</v>
      </c>
      <c r="F450" s="8" t="s">
        <v>18</v>
      </c>
      <c r="G450" s="3" t="s">
        <v>30</v>
      </c>
      <c r="H450" s="54" t="s">
        <v>109</v>
      </c>
    </row>
    <row r="451" spans="1:8" x14ac:dyDescent="0.25">
      <c r="A451" s="52">
        <f t="shared" si="6"/>
        <v>450</v>
      </c>
      <c r="B451" s="28" t="s">
        <v>915</v>
      </c>
      <c r="C451" s="13" t="s">
        <v>965</v>
      </c>
      <c r="D451" s="13" t="s">
        <v>966</v>
      </c>
      <c r="E451" s="1" t="s">
        <v>3</v>
      </c>
      <c r="F451" s="8" t="s">
        <v>19</v>
      </c>
      <c r="G451" s="3" t="s">
        <v>30</v>
      </c>
      <c r="H451" s="54" t="s">
        <v>363</v>
      </c>
    </row>
    <row r="452" spans="1:8" x14ac:dyDescent="0.25">
      <c r="A452" s="52">
        <f t="shared" ref="A452:A515" si="7">+A451+1</f>
        <v>451</v>
      </c>
      <c r="B452" s="28" t="s">
        <v>915</v>
      </c>
      <c r="C452" s="13" t="s">
        <v>965</v>
      </c>
      <c r="D452" s="13" t="s">
        <v>966</v>
      </c>
      <c r="E452" s="1" t="s">
        <v>4</v>
      </c>
      <c r="F452" s="8" t="s">
        <v>20</v>
      </c>
      <c r="G452" s="3" t="s">
        <v>30</v>
      </c>
      <c r="H452" s="54" t="s">
        <v>110</v>
      </c>
    </row>
    <row r="453" spans="1:8" x14ac:dyDescent="0.25">
      <c r="A453" s="52">
        <f t="shared" si="7"/>
        <v>452</v>
      </c>
      <c r="B453" s="28" t="s">
        <v>915</v>
      </c>
      <c r="C453" s="13" t="s">
        <v>965</v>
      </c>
      <c r="D453" s="13" t="s">
        <v>966</v>
      </c>
      <c r="E453" s="1" t="s">
        <v>5</v>
      </c>
      <c r="F453" s="8" t="s">
        <v>21</v>
      </c>
      <c r="G453" s="3" t="s">
        <v>30</v>
      </c>
      <c r="H453" s="54" t="s">
        <v>359</v>
      </c>
    </row>
    <row r="454" spans="1:8" x14ac:dyDescent="0.25">
      <c r="A454" s="52">
        <f t="shared" si="7"/>
        <v>453</v>
      </c>
      <c r="B454" s="28" t="s">
        <v>915</v>
      </c>
      <c r="C454" s="13" t="s">
        <v>965</v>
      </c>
      <c r="D454" s="13" t="s">
        <v>966</v>
      </c>
      <c r="E454" s="1" t="s">
        <v>6</v>
      </c>
      <c r="F454" s="8" t="s">
        <v>22</v>
      </c>
      <c r="G454" s="3" t="s">
        <v>30</v>
      </c>
      <c r="H454" s="52" t="s">
        <v>1140</v>
      </c>
    </row>
    <row r="455" spans="1:8" x14ac:dyDescent="0.25">
      <c r="A455" s="52">
        <f t="shared" si="7"/>
        <v>454</v>
      </c>
      <c r="B455" s="28" t="s">
        <v>915</v>
      </c>
      <c r="C455" s="13" t="s">
        <v>965</v>
      </c>
      <c r="D455" s="13" t="s">
        <v>966</v>
      </c>
      <c r="E455" s="1" t="s">
        <v>7</v>
      </c>
      <c r="F455" s="8" t="s">
        <v>23</v>
      </c>
      <c r="G455" s="3" t="s">
        <v>30</v>
      </c>
      <c r="H455" s="54" t="s">
        <v>882</v>
      </c>
    </row>
    <row r="456" spans="1:8" x14ac:dyDescent="0.25">
      <c r="A456" s="52">
        <f t="shared" si="7"/>
        <v>455</v>
      </c>
      <c r="B456" s="28" t="s">
        <v>915</v>
      </c>
      <c r="C456" s="13" t="s">
        <v>965</v>
      </c>
      <c r="D456" s="13" t="s">
        <v>966</v>
      </c>
      <c r="E456" s="1" t="s">
        <v>8</v>
      </c>
      <c r="F456" s="8" t="s">
        <v>24</v>
      </c>
      <c r="G456" s="3" t="s">
        <v>30</v>
      </c>
      <c r="H456" s="54" t="s">
        <v>111</v>
      </c>
    </row>
    <row r="457" spans="1:8" x14ac:dyDescent="0.25">
      <c r="A457" s="52">
        <f t="shared" si="7"/>
        <v>456</v>
      </c>
      <c r="B457" s="28" t="s">
        <v>915</v>
      </c>
      <c r="C457" s="13" t="s">
        <v>965</v>
      </c>
      <c r="D457" s="13" t="s">
        <v>966</v>
      </c>
      <c r="E457" s="1" t="s">
        <v>9</v>
      </c>
      <c r="F457" s="8" t="s">
        <v>25</v>
      </c>
      <c r="G457" s="3" t="s">
        <v>30</v>
      </c>
      <c r="H457" s="52" t="s">
        <v>400</v>
      </c>
    </row>
    <row r="458" spans="1:8" x14ac:dyDescent="0.25">
      <c r="A458" s="52">
        <f t="shared" si="7"/>
        <v>457</v>
      </c>
      <c r="B458" s="28" t="s">
        <v>915</v>
      </c>
      <c r="C458" s="13" t="s">
        <v>965</v>
      </c>
      <c r="D458" s="13" t="s">
        <v>966</v>
      </c>
      <c r="E458" s="1" t="s">
        <v>10</v>
      </c>
      <c r="F458" s="8" t="s">
        <v>202</v>
      </c>
      <c r="G458" s="3" t="s">
        <v>30</v>
      </c>
    </row>
    <row r="459" spans="1:8" s="46" customFormat="1" x14ac:dyDescent="0.25">
      <c r="A459" s="52">
        <f t="shared" si="7"/>
        <v>458</v>
      </c>
      <c r="B459" s="28" t="s">
        <v>915</v>
      </c>
      <c r="C459" s="13" t="s">
        <v>965</v>
      </c>
      <c r="D459" s="13" t="s">
        <v>966</v>
      </c>
      <c r="E459" s="1" t="s">
        <v>925</v>
      </c>
      <c r="F459" s="8" t="s">
        <v>926</v>
      </c>
      <c r="G459" s="3" t="s">
        <v>30</v>
      </c>
      <c r="H459" s="54" t="s">
        <v>927</v>
      </c>
    </row>
    <row r="460" spans="1:8" x14ac:dyDescent="0.25">
      <c r="A460" s="52">
        <f t="shared" si="7"/>
        <v>459</v>
      </c>
      <c r="B460" s="28" t="s">
        <v>915</v>
      </c>
      <c r="C460" s="13" t="s">
        <v>965</v>
      </c>
      <c r="D460" s="13" t="s">
        <v>966</v>
      </c>
      <c r="E460" s="1" t="s">
        <v>11</v>
      </c>
      <c r="F460" s="8" t="s">
        <v>255</v>
      </c>
      <c r="G460" s="3" t="s">
        <v>30</v>
      </c>
      <c r="H460" s="54" t="s">
        <v>361</v>
      </c>
    </row>
    <row r="461" spans="1:8" s="46" customFormat="1" x14ac:dyDescent="0.25">
      <c r="A461" s="52">
        <f t="shared" si="7"/>
        <v>460</v>
      </c>
      <c r="B461" s="28" t="s">
        <v>915</v>
      </c>
      <c r="C461" s="13" t="s">
        <v>965</v>
      </c>
      <c r="D461" s="13" t="s">
        <v>966</v>
      </c>
      <c r="E461" s="1" t="s">
        <v>928</v>
      </c>
      <c r="F461" s="8" t="s">
        <v>929</v>
      </c>
      <c r="G461" s="3" t="s">
        <v>30</v>
      </c>
      <c r="H461" s="54" t="s">
        <v>1040</v>
      </c>
    </row>
    <row r="462" spans="1:8" x14ac:dyDescent="0.25">
      <c r="A462" s="52">
        <f t="shared" si="7"/>
        <v>461</v>
      </c>
      <c r="B462" s="28" t="s">
        <v>915</v>
      </c>
      <c r="C462" s="13" t="s">
        <v>965</v>
      </c>
      <c r="D462" s="13" t="s">
        <v>966</v>
      </c>
      <c r="E462" s="1" t="s">
        <v>12</v>
      </c>
      <c r="F462" s="8" t="s">
        <v>256</v>
      </c>
      <c r="G462" s="3" t="s">
        <v>30</v>
      </c>
    </row>
    <row r="463" spans="1:8" s="46" customFormat="1" x14ac:dyDescent="0.25">
      <c r="A463" s="52">
        <f t="shared" si="7"/>
        <v>462</v>
      </c>
      <c r="B463" s="28" t="s">
        <v>915</v>
      </c>
      <c r="C463" s="13" t="s">
        <v>965</v>
      </c>
      <c r="D463" s="13" t="s">
        <v>966</v>
      </c>
      <c r="E463" s="1" t="s">
        <v>930</v>
      </c>
      <c r="F463" s="8" t="s">
        <v>931</v>
      </c>
      <c r="G463" s="3" t="s">
        <v>30</v>
      </c>
      <c r="H463" s="54" t="s">
        <v>1041</v>
      </c>
    </row>
    <row r="464" spans="1:8" s="46" customFormat="1" x14ac:dyDescent="0.25">
      <c r="A464" s="52">
        <f t="shared" si="7"/>
        <v>463</v>
      </c>
      <c r="B464" s="28" t="s">
        <v>915</v>
      </c>
      <c r="C464" s="13" t="s">
        <v>965</v>
      </c>
      <c r="D464" s="13" t="s">
        <v>966</v>
      </c>
      <c r="E464" s="1" t="s">
        <v>932</v>
      </c>
      <c r="F464" s="8" t="s">
        <v>26</v>
      </c>
      <c r="G464" s="3" t="s">
        <v>30</v>
      </c>
      <c r="H464" s="54" t="s">
        <v>840</v>
      </c>
    </row>
    <row r="465" spans="1:8" s="46" customFormat="1" x14ac:dyDescent="0.25">
      <c r="A465" s="52">
        <f t="shared" si="7"/>
        <v>464</v>
      </c>
      <c r="B465" s="28" t="s">
        <v>915</v>
      </c>
      <c r="C465" s="13" t="s">
        <v>965</v>
      </c>
      <c r="D465" s="13" t="s">
        <v>966</v>
      </c>
      <c r="E465" s="1"/>
      <c r="F465" s="19" t="s">
        <v>29</v>
      </c>
      <c r="G465" s="2" t="s">
        <v>31</v>
      </c>
      <c r="H465" s="54" t="s">
        <v>132</v>
      </c>
    </row>
    <row r="466" spans="1:8" x14ac:dyDescent="0.25">
      <c r="A466" s="52">
        <f t="shared" si="7"/>
        <v>465</v>
      </c>
      <c r="B466" s="28" t="s">
        <v>915</v>
      </c>
      <c r="C466" s="13" t="s">
        <v>965</v>
      </c>
      <c r="D466" s="13" t="s">
        <v>933</v>
      </c>
      <c r="E466" s="1" t="s">
        <v>32</v>
      </c>
      <c r="F466" s="8" t="s">
        <v>16</v>
      </c>
      <c r="G466" s="3" t="s">
        <v>30</v>
      </c>
      <c r="H466" s="54" t="s">
        <v>130</v>
      </c>
    </row>
    <row r="467" spans="1:8" x14ac:dyDescent="0.25">
      <c r="A467" s="52">
        <f t="shared" si="7"/>
        <v>466</v>
      </c>
      <c r="B467" s="28" t="s">
        <v>915</v>
      </c>
      <c r="C467" s="13" t="s">
        <v>965</v>
      </c>
      <c r="D467" s="13" t="s">
        <v>933</v>
      </c>
      <c r="E467" s="2" t="s">
        <v>1</v>
      </c>
      <c r="F467" s="19" t="s">
        <v>17</v>
      </c>
      <c r="G467" s="4" t="s">
        <v>30</v>
      </c>
      <c r="H467" s="54" t="s">
        <v>108</v>
      </c>
    </row>
    <row r="468" spans="1:8" x14ac:dyDescent="0.25">
      <c r="A468" s="52">
        <f t="shared" si="7"/>
        <v>467</v>
      </c>
      <c r="B468" s="28" t="s">
        <v>915</v>
      </c>
      <c r="C468" s="13" t="s">
        <v>965</v>
      </c>
      <c r="D468" s="13" t="s">
        <v>933</v>
      </c>
      <c r="E468" s="1" t="s">
        <v>33</v>
      </c>
      <c r="F468" s="8" t="s">
        <v>69</v>
      </c>
      <c r="G468" s="3" t="s">
        <v>30</v>
      </c>
      <c r="H468" s="54" t="s">
        <v>114</v>
      </c>
    </row>
    <row r="469" spans="1:8" x14ac:dyDescent="0.25">
      <c r="A469" s="52">
        <f t="shared" si="7"/>
        <v>468</v>
      </c>
      <c r="B469" s="28" t="s">
        <v>915</v>
      </c>
      <c r="C469" s="13" t="s">
        <v>965</v>
      </c>
      <c r="D469" s="13" t="s">
        <v>933</v>
      </c>
      <c r="E469" s="1" t="s">
        <v>34</v>
      </c>
      <c r="F469" s="8" t="s">
        <v>152</v>
      </c>
      <c r="G469" s="3" t="s">
        <v>30</v>
      </c>
      <c r="H469" s="54" t="s">
        <v>128</v>
      </c>
    </row>
    <row r="470" spans="1:8" x14ac:dyDescent="0.25">
      <c r="A470" s="52">
        <f t="shared" si="7"/>
        <v>469</v>
      </c>
      <c r="B470" s="28" t="s">
        <v>915</v>
      </c>
      <c r="C470" s="13" t="s">
        <v>965</v>
      </c>
      <c r="D470" s="13" t="s">
        <v>933</v>
      </c>
      <c r="E470" s="1" t="s">
        <v>35</v>
      </c>
      <c r="F470" s="8" t="s">
        <v>205</v>
      </c>
      <c r="G470" s="3" t="s">
        <v>30</v>
      </c>
      <c r="H470" s="54" t="s">
        <v>368</v>
      </c>
    </row>
    <row r="471" spans="1:8" x14ac:dyDescent="0.25">
      <c r="A471" s="52">
        <f t="shared" si="7"/>
        <v>470</v>
      </c>
      <c r="B471" s="28" t="s">
        <v>915</v>
      </c>
      <c r="C471" s="13" t="s">
        <v>965</v>
      </c>
      <c r="D471" s="13" t="s">
        <v>933</v>
      </c>
      <c r="E471" s="1" t="s">
        <v>36</v>
      </c>
      <c r="F471" s="8" t="s">
        <v>52</v>
      </c>
      <c r="G471" s="3" t="s">
        <v>30</v>
      </c>
      <c r="H471" s="54" t="s">
        <v>883</v>
      </c>
    </row>
    <row r="472" spans="1:8" x14ac:dyDescent="0.25">
      <c r="A472" s="52">
        <f t="shared" si="7"/>
        <v>471</v>
      </c>
      <c r="B472" s="28" t="s">
        <v>915</v>
      </c>
      <c r="C472" s="13" t="s">
        <v>965</v>
      </c>
      <c r="D472" s="13" t="s">
        <v>933</v>
      </c>
      <c r="E472" s="1" t="s">
        <v>37</v>
      </c>
      <c r="F472" s="8" t="s">
        <v>53</v>
      </c>
      <c r="G472" s="3" t="s">
        <v>30</v>
      </c>
      <c r="H472" s="52" t="s">
        <v>400</v>
      </c>
    </row>
    <row r="473" spans="1:8" x14ac:dyDescent="0.25">
      <c r="A473" s="52">
        <f t="shared" si="7"/>
        <v>472</v>
      </c>
      <c r="B473" s="28" t="s">
        <v>915</v>
      </c>
      <c r="C473" s="13" t="s">
        <v>965</v>
      </c>
      <c r="D473" s="13" t="s">
        <v>933</v>
      </c>
      <c r="E473" s="1" t="s">
        <v>38</v>
      </c>
      <c r="F473" s="8" t="s">
        <v>54</v>
      </c>
      <c r="G473" s="3" t="s">
        <v>30</v>
      </c>
      <c r="H473" s="54" t="s">
        <v>116</v>
      </c>
    </row>
    <row r="474" spans="1:8" x14ac:dyDescent="0.25">
      <c r="A474" s="52">
        <f t="shared" si="7"/>
        <v>473</v>
      </c>
      <c r="B474" s="28" t="s">
        <v>915</v>
      </c>
      <c r="C474" s="13" t="s">
        <v>965</v>
      </c>
      <c r="D474" s="13" t="s">
        <v>933</v>
      </c>
      <c r="E474" s="1" t="s">
        <v>40</v>
      </c>
      <c r="F474" s="8" t="s">
        <v>56</v>
      </c>
      <c r="G474" s="3" t="s">
        <v>30</v>
      </c>
      <c r="H474" s="54" t="s">
        <v>842</v>
      </c>
    </row>
    <row r="475" spans="1:8" x14ac:dyDescent="0.25">
      <c r="A475" s="52">
        <f t="shared" si="7"/>
        <v>474</v>
      </c>
      <c r="B475" s="28" t="s">
        <v>915</v>
      </c>
      <c r="C475" s="13" t="s">
        <v>965</v>
      </c>
      <c r="D475" s="13" t="s">
        <v>933</v>
      </c>
      <c r="E475" s="5" t="s">
        <v>41</v>
      </c>
      <c r="F475" s="20" t="s">
        <v>57</v>
      </c>
      <c r="G475" s="7" t="s">
        <v>30</v>
      </c>
      <c r="H475" s="54" t="s">
        <v>898</v>
      </c>
    </row>
    <row r="476" spans="1:8" x14ac:dyDescent="0.25">
      <c r="A476" s="52">
        <f t="shared" si="7"/>
        <v>475</v>
      </c>
      <c r="B476" s="28" t="s">
        <v>915</v>
      </c>
      <c r="C476" s="13" t="s">
        <v>965</v>
      </c>
      <c r="D476" s="13" t="s">
        <v>933</v>
      </c>
      <c r="E476" s="1" t="s">
        <v>42</v>
      </c>
      <c r="F476" s="8" t="s">
        <v>58</v>
      </c>
      <c r="G476" s="3" t="s">
        <v>30</v>
      </c>
      <c r="H476" s="54" t="s">
        <v>119</v>
      </c>
    </row>
    <row r="477" spans="1:8" x14ac:dyDescent="0.25">
      <c r="A477" s="52">
        <f t="shared" si="7"/>
        <v>476</v>
      </c>
      <c r="B477" s="28" t="s">
        <v>915</v>
      </c>
      <c r="C477" s="13" t="s">
        <v>965</v>
      </c>
      <c r="D477" s="13" t="s">
        <v>933</v>
      </c>
      <c r="E477" s="1" t="s">
        <v>44</v>
      </c>
      <c r="F477" s="8" t="s">
        <v>59</v>
      </c>
      <c r="G477" s="3" t="s">
        <v>30</v>
      </c>
      <c r="H477" s="54" t="s">
        <v>120</v>
      </c>
    </row>
    <row r="478" spans="1:8" x14ac:dyDescent="0.25">
      <c r="A478" s="52">
        <f t="shared" si="7"/>
        <v>477</v>
      </c>
      <c r="B478" s="28" t="s">
        <v>915</v>
      </c>
      <c r="C478" s="13" t="s">
        <v>965</v>
      </c>
      <c r="D478" s="13" t="s">
        <v>933</v>
      </c>
      <c r="E478" s="1" t="s">
        <v>45</v>
      </c>
      <c r="F478" s="8" t="s">
        <v>60</v>
      </c>
      <c r="G478" s="3" t="s">
        <v>30</v>
      </c>
      <c r="H478" s="54" t="s">
        <v>404</v>
      </c>
    </row>
    <row r="479" spans="1:8" x14ac:dyDescent="0.25">
      <c r="A479" s="52">
        <f t="shared" si="7"/>
        <v>478</v>
      </c>
      <c r="B479" s="28" t="s">
        <v>915</v>
      </c>
      <c r="C479" s="13" t="s">
        <v>965</v>
      </c>
      <c r="D479" s="13" t="s">
        <v>933</v>
      </c>
      <c r="E479" s="1" t="s">
        <v>47</v>
      </c>
      <c r="F479" s="8" t="s">
        <v>62</v>
      </c>
      <c r="G479" s="3" t="s">
        <v>30</v>
      </c>
      <c r="H479" s="54" t="s">
        <v>122</v>
      </c>
    </row>
    <row r="480" spans="1:8" s="46" customFormat="1" x14ac:dyDescent="0.25">
      <c r="A480" s="52">
        <f t="shared" si="7"/>
        <v>479</v>
      </c>
      <c r="B480" s="28" t="s">
        <v>915</v>
      </c>
      <c r="C480" s="13" t="s">
        <v>965</v>
      </c>
      <c r="D480" s="13" t="s">
        <v>933</v>
      </c>
      <c r="E480" s="6" t="s">
        <v>48</v>
      </c>
      <c r="F480" s="21" t="s">
        <v>934</v>
      </c>
      <c r="G480" s="9" t="s">
        <v>30</v>
      </c>
      <c r="H480" s="54" t="s">
        <v>405</v>
      </c>
    </row>
    <row r="481" spans="1:8" x14ac:dyDescent="0.25">
      <c r="A481" s="52">
        <f t="shared" si="7"/>
        <v>480</v>
      </c>
      <c r="B481" s="28" t="s">
        <v>915</v>
      </c>
      <c r="C481" s="13" t="s">
        <v>965</v>
      </c>
      <c r="D481" s="13" t="s">
        <v>933</v>
      </c>
      <c r="E481" s="1" t="s">
        <v>49</v>
      </c>
      <c r="F481" s="8" t="s">
        <v>61</v>
      </c>
      <c r="G481" s="3" t="s">
        <v>30</v>
      </c>
      <c r="H481" s="54" t="s">
        <v>129</v>
      </c>
    </row>
    <row r="482" spans="1:8" s="46" customFormat="1" x14ac:dyDescent="0.25">
      <c r="A482" s="52">
        <f t="shared" si="7"/>
        <v>481</v>
      </c>
      <c r="B482" s="28" t="s">
        <v>915</v>
      </c>
      <c r="C482" s="13" t="s">
        <v>965</v>
      </c>
      <c r="D482" s="13" t="s">
        <v>933</v>
      </c>
      <c r="E482" s="1" t="s">
        <v>50</v>
      </c>
      <c r="F482" s="8" t="s">
        <v>214</v>
      </c>
      <c r="G482" s="3" t="s">
        <v>30</v>
      </c>
      <c r="H482" s="54" t="s">
        <v>1048</v>
      </c>
    </row>
    <row r="483" spans="1:8" s="46" customFormat="1" x14ac:dyDescent="0.25">
      <c r="A483" s="52">
        <f t="shared" si="7"/>
        <v>482</v>
      </c>
      <c r="B483" s="28" t="s">
        <v>915</v>
      </c>
      <c r="C483" s="13" t="s">
        <v>965</v>
      </c>
      <c r="D483" s="13" t="s">
        <v>933</v>
      </c>
      <c r="E483" s="1" t="s">
        <v>221</v>
      </c>
      <c r="F483" s="8" t="s">
        <v>935</v>
      </c>
      <c r="G483" s="3" t="s">
        <v>30</v>
      </c>
      <c r="H483" s="54" t="s">
        <v>406</v>
      </c>
    </row>
    <row r="484" spans="1:8" x14ac:dyDescent="0.25">
      <c r="A484" s="52">
        <f t="shared" si="7"/>
        <v>483</v>
      </c>
      <c r="B484" s="28" t="s">
        <v>915</v>
      </c>
      <c r="C484" s="13" t="s">
        <v>965</v>
      </c>
      <c r="D484" s="13" t="s">
        <v>933</v>
      </c>
      <c r="E484" s="1" t="s">
        <v>51</v>
      </c>
      <c r="F484" s="8" t="s">
        <v>63</v>
      </c>
      <c r="G484" s="3" t="s">
        <v>30</v>
      </c>
      <c r="H484" s="52" t="s">
        <v>1140</v>
      </c>
    </row>
    <row r="485" spans="1:8" s="46" customFormat="1" x14ac:dyDescent="0.25">
      <c r="A485" s="52">
        <f t="shared" si="7"/>
        <v>484</v>
      </c>
      <c r="B485" s="28" t="s">
        <v>915</v>
      </c>
      <c r="C485" s="13" t="s">
        <v>965</v>
      </c>
      <c r="D485" s="13" t="s">
        <v>933</v>
      </c>
      <c r="E485" s="1" t="s">
        <v>224</v>
      </c>
      <c r="F485" s="8" t="s">
        <v>936</v>
      </c>
      <c r="G485" s="3" t="s">
        <v>30</v>
      </c>
      <c r="H485" s="54" t="s">
        <v>391</v>
      </c>
    </row>
    <row r="486" spans="1:8" x14ac:dyDescent="0.25">
      <c r="A486" s="52">
        <f t="shared" si="7"/>
        <v>485</v>
      </c>
      <c r="B486" s="28" t="s">
        <v>915</v>
      </c>
      <c r="C486" s="13" t="s">
        <v>965</v>
      </c>
      <c r="D486" s="13" t="s">
        <v>933</v>
      </c>
      <c r="E486" s="6" t="s">
        <v>228</v>
      </c>
      <c r="F486" s="21" t="s">
        <v>64</v>
      </c>
      <c r="G486" s="9" t="s">
        <v>30</v>
      </c>
      <c r="H486" s="54" t="s">
        <v>123</v>
      </c>
    </row>
    <row r="487" spans="1:8" s="46" customFormat="1" x14ac:dyDescent="0.25">
      <c r="A487" s="52">
        <f t="shared" si="7"/>
        <v>486</v>
      </c>
      <c r="B487" s="28" t="s">
        <v>915</v>
      </c>
      <c r="C487" s="13" t="s">
        <v>965</v>
      </c>
      <c r="D487" s="13" t="s">
        <v>933</v>
      </c>
      <c r="E487" s="6" t="s">
        <v>231</v>
      </c>
      <c r="F487" s="21" t="s">
        <v>937</v>
      </c>
      <c r="G487" s="9" t="s">
        <v>30</v>
      </c>
      <c r="H487" s="54" t="s">
        <v>959</v>
      </c>
    </row>
    <row r="488" spans="1:8" s="46" customFormat="1" x14ac:dyDescent="0.25">
      <c r="A488" s="52">
        <f t="shared" si="7"/>
        <v>487</v>
      </c>
      <c r="B488" s="28" t="s">
        <v>915</v>
      </c>
      <c r="C488" s="13" t="s">
        <v>965</v>
      </c>
      <c r="D488" s="13" t="s">
        <v>933</v>
      </c>
      <c r="E488" s="6" t="s">
        <v>938</v>
      </c>
      <c r="F488" s="21" t="s">
        <v>225</v>
      </c>
      <c r="G488" s="9" t="s">
        <v>30</v>
      </c>
      <c r="H488" s="54" t="s">
        <v>1120</v>
      </c>
    </row>
    <row r="489" spans="1:8" s="46" customFormat="1" x14ac:dyDescent="0.25">
      <c r="A489" s="52">
        <f t="shared" si="7"/>
        <v>488</v>
      </c>
      <c r="B489" s="28" t="s">
        <v>915</v>
      </c>
      <c r="C489" s="13" t="s">
        <v>965</v>
      </c>
      <c r="D489" s="13" t="s">
        <v>933</v>
      </c>
      <c r="E489" s="6" t="s">
        <v>940</v>
      </c>
      <c r="F489" s="21" t="s">
        <v>939</v>
      </c>
      <c r="G489" s="9" t="s">
        <v>30</v>
      </c>
      <c r="H489" s="52" t="s">
        <v>1047</v>
      </c>
    </row>
    <row r="490" spans="1:8" s="46" customFormat="1" x14ac:dyDescent="0.25">
      <c r="A490" s="52">
        <f t="shared" si="7"/>
        <v>489</v>
      </c>
      <c r="B490" s="28" t="s">
        <v>915</v>
      </c>
      <c r="C490" s="13" t="s">
        <v>965</v>
      </c>
      <c r="D490" s="13" t="s">
        <v>933</v>
      </c>
      <c r="E490" s="1"/>
      <c r="F490" s="19" t="s">
        <v>29</v>
      </c>
      <c r="G490" s="2" t="s">
        <v>31</v>
      </c>
      <c r="H490" s="54" t="s">
        <v>132</v>
      </c>
    </row>
    <row r="491" spans="1:8" x14ac:dyDescent="0.25">
      <c r="A491" s="52">
        <f t="shared" si="7"/>
        <v>490</v>
      </c>
      <c r="B491" s="28" t="s">
        <v>915</v>
      </c>
      <c r="C491" s="13" t="s">
        <v>965</v>
      </c>
      <c r="D491" s="1" t="s">
        <v>967</v>
      </c>
      <c r="E491" s="1" t="s">
        <v>0</v>
      </c>
      <c r="F491" s="8" t="s">
        <v>16</v>
      </c>
      <c r="G491" s="3" t="s">
        <v>30</v>
      </c>
      <c r="H491" s="54" t="s">
        <v>130</v>
      </c>
    </row>
    <row r="492" spans="1:8" x14ac:dyDescent="0.25">
      <c r="A492" s="52">
        <f t="shared" si="7"/>
        <v>491</v>
      </c>
      <c r="B492" s="28" t="s">
        <v>915</v>
      </c>
      <c r="C492" s="13" t="s">
        <v>965</v>
      </c>
      <c r="D492" s="1" t="s">
        <v>967</v>
      </c>
      <c r="E492" s="1" t="s">
        <v>1</v>
      </c>
      <c r="F492" s="8" t="s">
        <v>17</v>
      </c>
      <c r="G492" s="3" t="s">
        <v>30</v>
      </c>
      <c r="H492" s="54" t="s">
        <v>108</v>
      </c>
    </row>
    <row r="493" spans="1:8" x14ac:dyDescent="0.25">
      <c r="A493" s="52">
        <f t="shared" si="7"/>
        <v>492</v>
      </c>
      <c r="B493" s="28" t="s">
        <v>915</v>
      </c>
      <c r="C493" s="13" t="s">
        <v>965</v>
      </c>
      <c r="D493" s="1" t="s">
        <v>967</v>
      </c>
      <c r="E493" s="1" t="s">
        <v>33</v>
      </c>
      <c r="F493" s="8" t="s">
        <v>69</v>
      </c>
      <c r="G493" s="3" t="s">
        <v>30</v>
      </c>
      <c r="H493" s="54" t="s">
        <v>114</v>
      </c>
    </row>
    <row r="494" spans="1:8" s="46" customFormat="1" x14ac:dyDescent="0.25">
      <c r="A494" s="52">
        <f t="shared" si="7"/>
        <v>493</v>
      </c>
      <c r="B494" s="28" t="s">
        <v>915</v>
      </c>
      <c r="C494" s="13" t="s">
        <v>965</v>
      </c>
      <c r="D494" s="13" t="s">
        <v>967</v>
      </c>
      <c r="E494" s="1" t="s">
        <v>70</v>
      </c>
      <c r="F494" s="8" t="s">
        <v>82</v>
      </c>
      <c r="G494" s="3" t="s">
        <v>30</v>
      </c>
      <c r="H494" s="52" t="s">
        <v>393</v>
      </c>
    </row>
    <row r="495" spans="1:8" s="46" customFormat="1" x14ac:dyDescent="0.25">
      <c r="A495" s="52">
        <f t="shared" si="7"/>
        <v>494</v>
      </c>
      <c r="B495" s="28" t="s">
        <v>915</v>
      </c>
      <c r="C495" s="13" t="s">
        <v>965</v>
      </c>
      <c r="D495" s="13" t="s">
        <v>967</v>
      </c>
      <c r="E495" s="1" t="s">
        <v>72</v>
      </c>
      <c r="F495" s="8" t="s">
        <v>83</v>
      </c>
      <c r="G495" s="3" t="s">
        <v>30</v>
      </c>
      <c r="H495" s="54" t="s">
        <v>395</v>
      </c>
    </row>
    <row r="496" spans="1:8" x14ac:dyDescent="0.25">
      <c r="A496" s="52">
        <f t="shared" si="7"/>
        <v>495</v>
      </c>
      <c r="B496" s="28" t="s">
        <v>915</v>
      </c>
      <c r="C496" s="13" t="s">
        <v>965</v>
      </c>
      <c r="D496" s="1" t="s">
        <v>967</v>
      </c>
      <c r="E496" s="1" t="s">
        <v>74</v>
      </c>
      <c r="F496" s="8" t="s">
        <v>71</v>
      </c>
      <c r="G496" s="3" t="s">
        <v>30</v>
      </c>
      <c r="H496" s="54" t="s">
        <v>131</v>
      </c>
    </row>
    <row r="497" spans="1:8" x14ac:dyDescent="0.25">
      <c r="A497" s="52">
        <f t="shared" si="7"/>
        <v>496</v>
      </c>
      <c r="B497" s="28" t="s">
        <v>915</v>
      </c>
      <c r="C497" s="13" t="s">
        <v>965</v>
      </c>
      <c r="D497" s="1" t="s">
        <v>967</v>
      </c>
      <c r="E497" s="1" t="s">
        <v>237</v>
      </c>
      <c r="F497" s="8" t="s">
        <v>73</v>
      </c>
      <c r="G497" s="3" t="s">
        <v>30</v>
      </c>
      <c r="H497" s="54" t="s">
        <v>126</v>
      </c>
    </row>
    <row r="498" spans="1:8" x14ac:dyDescent="0.25">
      <c r="A498" s="52">
        <f t="shared" si="7"/>
        <v>497</v>
      </c>
      <c r="B498" s="28" t="s">
        <v>915</v>
      </c>
      <c r="C498" s="13" t="s">
        <v>965</v>
      </c>
      <c r="D498" s="1" t="s">
        <v>967</v>
      </c>
      <c r="E498" s="10" t="s">
        <v>76</v>
      </c>
      <c r="F498" s="8" t="s">
        <v>79</v>
      </c>
      <c r="G498" s="3" t="s">
        <v>30</v>
      </c>
      <c r="H498" s="54" t="s">
        <v>913</v>
      </c>
    </row>
    <row r="499" spans="1:8" s="46" customFormat="1" x14ac:dyDescent="0.25">
      <c r="A499" s="52">
        <f t="shared" si="7"/>
        <v>498</v>
      </c>
      <c r="B499" s="28" t="s">
        <v>915</v>
      </c>
      <c r="C499" s="13" t="s">
        <v>965</v>
      </c>
      <c r="D499" s="13" t="s">
        <v>967</v>
      </c>
      <c r="E499" s="1" t="s">
        <v>77</v>
      </c>
      <c r="F499" s="8" t="s">
        <v>941</v>
      </c>
      <c r="G499" s="3" t="s">
        <v>30</v>
      </c>
      <c r="H499" s="52" t="s">
        <v>1130</v>
      </c>
    </row>
    <row r="500" spans="1:8" s="46" customFormat="1" x14ac:dyDescent="0.25">
      <c r="A500" s="52">
        <f t="shared" si="7"/>
        <v>499</v>
      </c>
      <c r="B500" s="28" t="s">
        <v>915</v>
      </c>
      <c r="C500" s="13" t="s">
        <v>965</v>
      </c>
      <c r="D500" s="13" t="s">
        <v>967</v>
      </c>
      <c r="E500" s="1" t="s">
        <v>78</v>
      </c>
      <c r="F500" s="8" t="s">
        <v>942</v>
      </c>
      <c r="G500" s="3" t="s">
        <v>30</v>
      </c>
      <c r="H500" s="52" t="s">
        <v>1126</v>
      </c>
    </row>
    <row r="501" spans="1:8" x14ac:dyDescent="0.25">
      <c r="A501" s="52">
        <f t="shared" si="7"/>
        <v>500</v>
      </c>
      <c r="B501" s="28" t="s">
        <v>915</v>
      </c>
      <c r="C501" s="13" t="s">
        <v>965</v>
      </c>
      <c r="D501" s="13" t="s">
        <v>1113</v>
      </c>
      <c r="E501" s="2" t="s">
        <v>259</v>
      </c>
      <c r="F501" s="19" t="s">
        <v>199</v>
      </c>
      <c r="G501" s="2" t="s">
        <v>30</v>
      </c>
      <c r="H501" s="54" t="s">
        <v>130</v>
      </c>
    </row>
    <row r="502" spans="1:8" x14ac:dyDescent="0.25">
      <c r="A502" s="52">
        <f t="shared" si="7"/>
        <v>501</v>
      </c>
      <c r="B502" s="28" t="s">
        <v>915</v>
      </c>
      <c r="C502" s="13" t="s">
        <v>965</v>
      </c>
      <c r="D502" s="13" t="s">
        <v>1113</v>
      </c>
      <c r="E502" s="13" t="s">
        <v>33</v>
      </c>
      <c r="F502" s="18" t="s">
        <v>69</v>
      </c>
      <c r="G502" s="2" t="s">
        <v>30</v>
      </c>
      <c r="H502" s="54" t="s">
        <v>114</v>
      </c>
    </row>
    <row r="503" spans="1:8" x14ac:dyDescent="0.25">
      <c r="A503" s="52">
        <f t="shared" si="7"/>
        <v>502</v>
      </c>
      <c r="B503" s="28" t="s">
        <v>915</v>
      </c>
      <c r="C503" s="13" t="s">
        <v>965</v>
      </c>
      <c r="D503" s="13" t="s">
        <v>1113</v>
      </c>
      <c r="E503" s="13" t="s">
        <v>197</v>
      </c>
      <c r="F503" s="18" t="s">
        <v>182</v>
      </c>
      <c r="G503" s="2" t="s">
        <v>30</v>
      </c>
      <c r="H503" t="s">
        <v>1123</v>
      </c>
    </row>
    <row r="504" spans="1:8" x14ac:dyDescent="0.25">
      <c r="A504" s="52">
        <f t="shared" si="7"/>
        <v>503</v>
      </c>
      <c r="B504" s="28" t="s">
        <v>915</v>
      </c>
      <c r="C504" s="13" t="s">
        <v>965</v>
      </c>
      <c r="D504" s="1" t="s">
        <v>968</v>
      </c>
      <c r="E504" s="1" t="s">
        <v>32</v>
      </c>
      <c r="F504" s="8" t="s">
        <v>16</v>
      </c>
      <c r="G504" s="3" t="s">
        <v>30</v>
      </c>
      <c r="H504" s="54" t="s">
        <v>108</v>
      </c>
    </row>
    <row r="505" spans="1:8" x14ac:dyDescent="0.25">
      <c r="A505" s="52">
        <f t="shared" si="7"/>
        <v>504</v>
      </c>
      <c r="B505" s="28" t="s">
        <v>915</v>
      </c>
      <c r="C505" s="13" t="s">
        <v>965</v>
      </c>
      <c r="D505" s="1" t="s">
        <v>968</v>
      </c>
      <c r="E505" s="1" t="s">
        <v>33</v>
      </c>
      <c r="F505" s="8" t="s">
        <v>69</v>
      </c>
      <c r="G505" s="3" t="s">
        <v>30</v>
      </c>
      <c r="H505" s="54" t="s">
        <v>114</v>
      </c>
    </row>
    <row r="506" spans="1:8" x14ac:dyDescent="0.25">
      <c r="A506" s="52">
        <f t="shared" si="7"/>
        <v>505</v>
      </c>
      <c r="B506" s="28" t="s">
        <v>915</v>
      </c>
      <c r="C506" s="13" t="s">
        <v>965</v>
      </c>
      <c r="D506" s="1" t="s">
        <v>968</v>
      </c>
      <c r="E506" s="1" t="s">
        <v>85</v>
      </c>
      <c r="F506" s="8" t="s">
        <v>88</v>
      </c>
      <c r="G506" s="3" t="s">
        <v>30</v>
      </c>
    </row>
    <row r="507" spans="1:8" x14ac:dyDescent="0.25">
      <c r="A507" s="52">
        <f t="shared" si="7"/>
        <v>506</v>
      </c>
      <c r="B507" s="28" t="s">
        <v>915</v>
      </c>
      <c r="C507" s="13" t="s">
        <v>965</v>
      </c>
      <c r="D507" s="1" t="s">
        <v>968</v>
      </c>
      <c r="E507" s="1" t="s">
        <v>86</v>
      </c>
      <c r="F507" s="8" t="s">
        <v>89</v>
      </c>
      <c r="G507" s="3" t="s">
        <v>30</v>
      </c>
    </row>
    <row r="508" spans="1:8" x14ac:dyDescent="0.25">
      <c r="A508" s="52">
        <f t="shared" si="7"/>
        <v>507</v>
      </c>
      <c r="B508" s="28" t="s">
        <v>915</v>
      </c>
      <c r="C508" s="13" t="s">
        <v>965</v>
      </c>
      <c r="D508" s="1" t="s">
        <v>968</v>
      </c>
      <c r="E508" s="1" t="s">
        <v>87</v>
      </c>
      <c r="F508" s="8" t="s">
        <v>90</v>
      </c>
      <c r="G508" s="3" t="s">
        <v>30</v>
      </c>
    </row>
    <row r="509" spans="1:8" x14ac:dyDescent="0.25">
      <c r="A509" s="52">
        <f t="shared" si="7"/>
        <v>508</v>
      </c>
      <c r="B509" s="28" t="s">
        <v>915</v>
      </c>
      <c r="C509" s="13" t="s">
        <v>965</v>
      </c>
      <c r="D509" s="1" t="s">
        <v>1037</v>
      </c>
      <c r="E509" s="13" t="s">
        <v>0</v>
      </c>
      <c r="F509" s="8" t="s">
        <v>16</v>
      </c>
      <c r="G509" s="2" t="s">
        <v>30</v>
      </c>
      <c r="H509" s="54" t="s">
        <v>130</v>
      </c>
    </row>
    <row r="510" spans="1:8" x14ac:dyDescent="0.25">
      <c r="A510" s="52">
        <f t="shared" si="7"/>
        <v>509</v>
      </c>
      <c r="B510" s="28" t="s">
        <v>915</v>
      </c>
      <c r="C510" s="13" t="s">
        <v>965</v>
      </c>
      <c r="D510" s="1" t="s">
        <v>1037</v>
      </c>
      <c r="E510" s="1" t="s">
        <v>1</v>
      </c>
      <c r="F510" s="8" t="s">
        <v>17</v>
      </c>
      <c r="G510" s="2" t="s">
        <v>30</v>
      </c>
      <c r="H510" s="54" t="s">
        <v>108</v>
      </c>
    </row>
    <row r="511" spans="1:8" x14ac:dyDescent="0.25">
      <c r="A511" s="52">
        <f t="shared" si="7"/>
        <v>510</v>
      </c>
      <c r="B511" s="28" t="s">
        <v>915</v>
      </c>
      <c r="C511" s="13" t="s">
        <v>965</v>
      </c>
      <c r="D511" s="1" t="s">
        <v>1037</v>
      </c>
      <c r="E511" s="13" t="s">
        <v>33</v>
      </c>
      <c r="F511" s="8" t="s">
        <v>69</v>
      </c>
      <c r="G511" s="2" t="s">
        <v>30</v>
      </c>
      <c r="H511" s="54" t="s">
        <v>114</v>
      </c>
    </row>
    <row r="512" spans="1:8" x14ac:dyDescent="0.25">
      <c r="A512" s="52">
        <f t="shared" si="7"/>
        <v>511</v>
      </c>
      <c r="B512" s="28" t="s">
        <v>915</v>
      </c>
      <c r="C512" s="13" t="s">
        <v>965</v>
      </c>
      <c r="D512" s="1" t="s">
        <v>1037</v>
      </c>
      <c r="E512" s="13" t="s">
        <v>0</v>
      </c>
      <c r="F512" s="8" t="s">
        <v>1038</v>
      </c>
      <c r="G512" s="2" t="s">
        <v>30</v>
      </c>
      <c r="H512" t="s">
        <v>1332</v>
      </c>
    </row>
    <row r="513" spans="1:8" x14ac:dyDescent="0.25">
      <c r="A513" s="52">
        <f t="shared" si="7"/>
        <v>512</v>
      </c>
      <c r="B513" s="28" t="s">
        <v>915</v>
      </c>
      <c r="C513" s="13" t="s">
        <v>965</v>
      </c>
      <c r="D513" s="1" t="s">
        <v>1037</v>
      </c>
      <c r="E513" s="13" t="s">
        <v>33</v>
      </c>
      <c r="F513" s="8" t="s">
        <v>1024</v>
      </c>
      <c r="G513" s="2" t="s">
        <v>30</v>
      </c>
      <c r="H513" t="s">
        <v>1329</v>
      </c>
    </row>
    <row r="514" spans="1:8" x14ac:dyDescent="0.25">
      <c r="A514" s="52">
        <f t="shared" si="7"/>
        <v>513</v>
      </c>
      <c r="B514" s="28" t="s">
        <v>915</v>
      </c>
      <c r="C514" s="13" t="s">
        <v>965</v>
      </c>
      <c r="D514" s="1" t="s">
        <v>1037</v>
      </c>
      <c r="E514" s="13" t="s">
        <v>40</v>
      </c>
      <c r="F514" s="8" t="s">
        <v>1026</v>
      </c>
      <c r="G514" s="2" t="s">
        <v>30</v>
      </c>
    </row>
    <row r="515" spans="1:8" ht="14.45" customHeight="1" x14ac:dyDescent="0.25">
      <c r="A515" s="52">
        <f t="shared" si="7"/>
        <v>514</v>
      </c>
      <c r="B515" s="29" t="s">
        <v>915</v>
      </c>
      <c r="C515" s="2" t="s">
        <v>965</v>
      </c>
      <c r="D515" s="1" t="s">
        <v>1037</v>
      </c>
      <c r="E515" s="13" t="s">
        <v>42</v>
      </c>
      <c r="F515" s="19" t="s">
        <v>1036</v>
      </c>
      <c r="G515" s="2" t="s">
        <v>30</v>
      </c>
      <c r="H515" t="s">
        <v>1330</v>
      </c>
    </row>
    <row r="516" spans="1:8" ht="14.45" customHeight="1" x14ac:dyDescent="0.25">
      <c r="A516" s="52">
        <f t="shared" ref="A516:A579" si="8">+A515+1</f>
        <v>515</v>
      </c>
      <c r="B516" s="29" t="s">
        <v>915</v>
      </c>
      <c r="C516" s="2" t="s">
        <v>965</v>
      </c>
      <c r="D516" s="1" t="s">
        <v>1037</v>
      </c>
      <c r="E516" s="13" t="s">
        <v>49</v>
      </c>
      <c r="F516" s="8" t="s">
        <v>61</v>
      </c>
      <c r="G516" s="2" t="s">
        <v>30</v>
      </c>
      <c r="H516" t="s">
        <v>1331</v>
      </c>
    </row>
    <row r="517" spans="1:8" x14ac:dyDescent="0.25">
      <c r="A517" s="52">
        <f t="shared" si="8"/>
        <v>516</v>
      </c>
      <c r="B517" s="28" t="s">
        <v>915</v>
      </c>
      <c r="C517" s="13" t="s">
        <v>965</v>
      </c>
      <c r="D517" s="1" t="s">
        <v>1037</v>
      </c>
      <c r="E517" s="13" t="s">
        <v>1028</v>
      </c>
      <c r="F517" s="18" t="s">
        <v>62</v>
      </c>
      <c r="G517" s="3" t="s">
        <v>30</v>
      </c>
      <c r="H517" s="54" t="s">
        <v>1318</v>
      </c>
    </row>
    <row r="518" spans="1:8" x14ac:dyDescent="0.25">
      <c r="A518" s="52">
        <f t="shared" si="8"/>
        <v>517</v>
      </c>
      <c r="B518" s="28" t="s">
        <v>915</v>
      </c>
      <c r="C518" s="13" t="s">
        <v>965</v>
      </c>
      <c r="D518" s="1" t="s">
        <v>1037</v>
      </c>
      <c r="E518" s="13" t="s">
        <v>1029</v>
      </c>
      <c r="F518" s="18" t="s">
        <v>1031</v>
      </c>
      <c r="G518" s="3" t="s">
        <v>30</v>
      </c>
    </row>
    <row r="519" spans="1:8" x14ac:dyDescent="0.25">
      <c r="A519" s="52">
        <f t="shared" si="8"/>
        <v>518</v>
      </c>
      <c r="B519" s="28" t="s">
        <v>915</v>
      </c>
      <c r="C519" s="13" t="s">
        <v>965</v>
      </c>
      <c r="D519" s="1" t="s">
        <v>969</v>
      </c>
      <c r="E519" s="1" t="s">
        <v>91</v>
      </c>
      <c r="F519" s="8" t="s">
        <v>16</v>
      </c>
      <c r="G519" s="3" t="s">
        <v>30</v>
      </c>
    </row>
    <row r="520" spans="1:8" x14ac:dyDescent="0.25">
      <c r="A520" s="52">
        <f t="shared" si="8"/>
        <v>519</v>
      </c>
      <c r="B520" s="28" t="s">
        <v>915</v>
      </c>
      <c r="C520" s="13" t="s">
        <v>965</v>
      </c>
      <c r="D520" s="1" t="s">
        <v>969</v>
      </c>
      <c r="E520" s="12" t="s">
        <v>92</v>
      </c>
      <c r="F520" s="25" t="s">
        <v>69</v>
      </c>
      <c r="G520" s="3" t="s">
        <v>30</v>
      </c>
    </row>
    <row r="521" spans="1:8" x14ac:dyDescent="0.25">
      <c r="A521" s="52">
        <f t="shared" si="8"/>
        <v>520</v>
      </c>
      <c r="B521" s="28" t="s">
        <v>915</v>
      </c>
      <c r="C521" s="13" t="s">
        <v>965</v>
      </c>
      <c r="D521" s="1" t="s">
        <v>969</v>
      </c>
      <c r="E521" s="12" t="s">
        <v>93</v>
      </c>
      <c r="F521" s="8" t="s">
        <v>99</v>
      </c>
      <c r="G521" s="3" t="s">
        <v>30</v>
      </c>
    </row>
    <row r="522" spans="1:8" x14ac:dyDescent="0.25">
      <c r="A522" s="52">
        <f t="shared" si="8"/>
        <v>521</v>
      </c>
      <c r="B522" s="28" t="s">
        <v>915</v>
      </c>
      <c r="C522" s="13" t="s">
        <v>965</v>
      </c>
      <c r="D522" s="1" t="s">
        <v>969</v>
      </c>
      <c r="E522" s="12" t="s">
        <v>94</v>
      </c>
      <c r="F522" s="8" t="s">
        <v>100</v>
      </c>
      <c r="G522" s="3" t="s">
        <v>30</v>
      </c>
    </row>
    <row r="523" spans="1:8" x14ac:dyDescent="0.25">
      <c r="A523" s="52">
        <f t="shared" si="8"/>
        <v>522</v>
      </c>
      <c r="B523" s="28" t="s">
        <v>915</v>
      </c>
      <c r="C523" s="13" t="s">
        <v>965</v>
      </c>
      <c r="D523" s="1" t="s">
        <v>969</v>
      </c>
      <c r="E523" s="12" t="s">
        <v>95</v>
      </c>
      <c r="F523" s="8" t="s">
        <v>89</v>
      </c>
      <c r="G523" s="3" t="s">
        <v>30</v>
      </c>
    </row>
    <row r="524" spans="1:8" x14ac:dyDescent="0.25">
      <c r="A524" s="52">
        <f t="shared" si="8"/>
        <v>523</v>
      </c>
      <c r="B524" s="28" t="s">
        <v>915</v>
      </c>
      <c r="C524" s="13" t="s">
        <v>965</v>
      </c>
      <c r="D524" s="1" t="s">
        <v>969</v>
      </c>
      <c r="E524" s="12" t="s">
        <v>96</v>
      </c>
      <c r="F524" s="8" t="s">
        <v>101</v>
      </c>
      <c r="G524" s="3" t="s">
        <v>30</v>
      </c>
    </row>
    <row r="525" spans="1:8" x14ac:dyDescent="0.25">
      <c r="A525" s="52">
        <f t="shared" si="8"/>
        <v>524</v>
      </c>
      <c r="B525" s="28" t="s">
        <v>915</v>
      </c>
      <c r="C525" s="13" t="s">
        <v>965</v>
      </c>
      <c r="D525" s="1" t="s">
        <v>969</v>
      </c>
      <c r="E525" s="12" t="s">
        <v>97</v>
      </c>
      <c r="F525" s="8" t="s">
        <v>102</v>
      </c>
      <c r="G525" s="3" t="s">
        <v>30</v>
      </c>
    </row>
    <row r="526" spans="1:8" x14ac:dyDescent="0.25">
      <c r="A526" s="52">
        <f t="shared" si="8"/>
        <v>525</v>
      </c>
      <c r="B526" s="28" t="s">
        <v>915</v>
      </c>
      <c r="C526" s="13" t="s">
        <v>965</v>
      </c>
      <c r="D526" s="1" t="s">
        <v>969</v>
      </c>
      <c r="E526" s="12" t="s">
        <v>98</v>
      </c>
      <c r="F526" s="8" t="s">
        <v>103</v>
      </c>
      <c r="G526" s="3" t="s">
        <v>30</v>
      </c>
    </row>
    <row r="527" spans="1:8" x14ac:dyDescent="0.25">
      <c r="A527" s="52">
        <f t="shared" si="8"/>
        <v>526</v>
      </c>
      <c r="B527" s="28" t="s">
        <v>914</v>
      </c>
      <c r="C527" s="13" t="s">
        <v>970</v>
      </c>
      <c r="D527" s="13" t="s">
        <v>971</v>
      </c>
      <c r="E527" s="13" t="s">
        <v>0</v>
      </c>
      <c r="F527" s="18" t="s">
        <v>16</v>
      </c>
      <c r="G527" s="14" t="s">
        <v>30</v>
      </c>
      <c r="H527" s="54" t="s">
        <v>130</v>
      </c>
    </row>
    <row r="528" spans="1:8" x14ac:dyDescent="0.25">
      <c r="A528" s="52">
        <f t="shared" si="8"/>
        <v>527</v>
      </c>
      <c r="B528" s="28" t="s">
        <v>914</v>
      </c>
      <c r="C528" s="13" t="s">
        <v>970</v>
      </c>
      <c r="D528" s="13" t="s">
        <v>971</v>
      </c>
      <c r="E528" s="2" t="s">
        <v>1</v>
      </c>
      <c r="F528" s="19" t="s">
        <v>17</v>
      </c>
      <c r="G528" s="4" t="s">
        <v>30</v>
      </c>
      <c r="H528" s="54" t="s">
        <v>108</v>
      </c>
    </row>
    <row r="529" spans="1:8" x14ac:dyDescent="0.25">
      <c r="A529" s="52">
        <f t="shared" si="8"/>
        <v>528</v>
      </c>
      <c r="B529" s="28" t="s">
        <v>914</v>
      </c>
      <c r="C529" s="13" t="s">
        <v>970</v>
      </c>
      <c r="D529" s="13" t="s">
        <v>971</v>
      </c>
      <c r="E529" s="1" t="s">
        <v>2</v>
      </c>
      <c r="F529" s="8" t="s">
        <v>18</v>
      </c>
      <c r="G529" s="3" t="s">
        <v>30</v>
      </c>
      <c r="H529" s="54" t="s">
        <v>897</v>
      </c>
    </row>
    <row r="530" spans="1:8" x14ac:dyDescent="0.25">
      <c r="A530" s="52">
        <f t="shared" si="8"/>
        <v>529</v>
      </c>
      <c r="B530" s="28" t="s">
        <v>914</v>
      </c>
      <c r="C530" s="13" t="s">
        <v>970</v>
      </c>
      <c r="D530" s="13" t="s">
        <v>971</v>
      </c>
      <c r="E530" s="1" t="s">
        <v>3</v>
      </c>
      <c r="F530" s="8" t="s">
        <v>19</v>
      </c>
      <c r="G530" s="3" t="s">
        <v>30</v>
      </c>
      <c r="H530" s="54" t="s">
        <v>363</v>
      </c>
    </row>
    <row r="531" spans="1:8" x14ac:dyDescent="0.25">
      <c r="A531" s="52">
        <f t="shared" si="8"/>
        <v>530</v>
      </c>
      <c r="B531" s="28" t="s">
        <v>914</v>
      </c>
      <c r="C531" s="13" t="s">
        <v>970</v>
      </c>
      <c r="D531" s="13" t="s">
        <v>971</v>
      </c>
      <c r="E531" s="1" t="s">
        <v>4</v>
      </c>
      <c r="F531" s="8" t="s">
        <v>20</v>
      </c>
      <c r="G531" s="3" t="s">
        <v>30</v>
      </c>
      <c r="H531" s="54" t="s">
        <v>110</v>
      </c>
    </row>
    <row r="532" spans="1:8" x14ac:dyDescent="0.25">
      <c r="A532" s="52">
        <f t="shared" si="8"/>
        <v>531</v>
      </c>
      <c r="B532" s="28" t="s">
        <v>914</v>
      </c>
      <c r="C532" s="13" t="s">
        <v>970</v>
      </c>
      <c r="D532" s="13" t="s">
        <v>971</v>
      </c>
      <c r="E532" s="1" t="s">
        <v>5</v>
      </c>
      <c r="F532" s="8" t="s">
        <v>21</v>
      </c>
      <c r="G532" s="3" t="s">
        <v>30</v>
      </c>
      <c r="H532" s="54" t="s">
        <v>359</v>
      </c>
    </row>
    <row r="533" spans="1:8" x14ac:dyDescent="0.25">
      <c r="A533" s="52">
        <f t="shared" si="8"/>
        <v>532</v>
      </c>
      <c r="B533" s="28" t="s">
        <v>914</v>
      </c>
      <c r="C533" s="13" t="s">
        <v>970</v>
      </c>
      <c r="D533" s="13" t="s">
        <v>971</v>
      </c>
      <c r="E533" s="1" t="s">
        <v>6</v>
      </c>
      <c r="F533" s="8" t="s">
        <v>943</v>
      </c>
      <c r="G533" s="3" t="s">
        <v>30</v>
      </c>
      <c r="H533" s="52" t="s">
        <v>1140</v>
      </c>
    </row>
    <row r="534" spans="1:8" x14ac:dyDescent="0.25">
      <c r="A534" s="52">
        <f t="shared" si="8"/>
        <v>533</v>
      </c>
      <c r="B534" s="28" t="s">
        <v>914</v>
      </c>
      <c r="C534" s="13" t="s">
        <v>970</v>
      </c>
      <c r="D534" s="13" t="s">
        <v>971</v>
      </c>
      <c r="E534" s="1" t="s">
        <v>7</v>
      </c>
      <c r="F534" s="8" t="s">
        <v>23</v>
      </c>
      <c r="G534" s="3" t="s">
        <v>30</v>
      </c>
      <c r="H534" s="54" t="s">
        <v>882</v>
      </c>
    </row>
    <row r="535" spans="1:8" x14ac:dyDescent="0.25">
      <c r="A535" s="52">
        <f t="shared" si="8"/>
        <v>534</v>
      </c>
      <c r="B535" s="28" t="s">
        <v>914</v>
      </c>
      <c r="C535" s="13" t="s">
        <v>970</v>
      </c>
      <c r="D535" s="13" t="s">
        <v>971</v>
      </c>
      <c r="E535" s="1" t="s">
        <v>8</v>
      </c>
      <c r="F535" s="8" t="s">
        <v>24</v>
      </c>
      <c r="G535" s="3" t="s">
        <v>30</v>
      </c>
      <c r="H535" s="54" t="s">
        <v>111</v>
      </c>
    </row>
    <row r="536" spans="1:8" x14ac:dyDescent="0.25">
      <c r="A536" s="52">
        <f t="shared" si="8"/>
        <v>535</v>
      </c>
      <c r="B536" s="28" t="s">
        <v>914</v>
      </c>
      <c r="C536" s="13" t="s">
        <v>970</v>
      </c>
      <c r="D536" s="13" t="s">
        <v>971</v>
      </c>
      <c r="E536" s="1" t="s">
        <v>9</v>
      </c>
      <c r="F536" s="8" t="s">
        <v>944</v>
      </c>
      <c r="G536" s="3" t="s">
        <v>30</v>
      </c>
      <c r="H536" s="52" t="s">
        <v>400</v>
      </c>
    </row>
    <row r="537" spans="1:8" x14ac:dyDescent="0.25">
      <c r="A537" s="52">
        <f t="shared" si="8"/>
        <v>536</v>
      </c>
      <c r="B537" s="28" t="s">
        <v>914</v>
      </c>
      <c r="C537" s="13" t="s">
        <v>970</v>
      </c>
      <c r="D537" s="13" t="s">
        <v>971</v>
      </c>
      <c r="E537" s="1" t="s">
        <v>10</v>
      </c>
      <c r="F537" s="8" t="s">
        <v>926</v>
      </c>
      <c r="G537" s="3" t="s">
        <v>30</v>
      </c>
      <c r="H537" s="54" t="s">
        <v>927</v>
      </c>
    </row>
    <row r="538" spans="1:8" x14ac:dyDescent="0.25">
      <c r="A538" s="52">
        <f t="shared" si="8"/>
        <v>537</v>
      </c>
      <c r="B538" s="28" t="s">
        <v>914</v>
      </c>
      <c r="C538" s="13" t="s">
        <v>970</v>
      </c>
      <c r="D538" s="13" t="s">
        <v>971</v>
      </c>
      <c r="E538" s="1" t="s">
        <v>11</v>
      </c>
      <c r="F538" s="8" t="s">
        <v>929</v>
      </c>
      <c r="G538" s="3" t="s">
        <v>30</v>
      </c>
      <c r="H538" s="54" t="s">
        <v>1040</v>
      </c>
    </row>
    <row r="539" spans="1:8" x14ac:dyDescent="0.25">
      <c r="A539" s="52">
        <f t="shared" si="8"/>
        <v>538</v>
      </c>
      <c r="B539" s="28" t="s">
        <v>914</v>
      </c>
      <c r="C539" s="13" t="s">
        <v>970</v>
      </c>
      <c r="D539" s="13" t="s">
        <v>971</v>
      </c>
      <c r="E539" s="1" t="s">
        <v>12</v>
      </c>
      <c r="F539" s="8" t="s">
        <v>931</v>
      </c>
      <c r="G539" s="3" t="s">
        <v>30</v>
      </c>
      <c r="H539" s="54" t="s">
        <v>1041</v>
      </c>
    </row>
    <row r="540" spans="1:8" s="48" customFormat="1" x14ac:dyDescent="0.25">
      <c r="A540" s="52">
        <f t="shared" si="8"/>
        <v>539</v>
      </c>
      <c r="B540" s="28" t="s">
        <v>914</v>
      </c>
      <c r="C540" s="13" t="s">
        <v>970</v>
      </c>
      <c r="D540" s="13" t="s">
        <v>971</v>
      </c>
      <c r="E540" s="1" t="s">
        <v>13</v>
      </c>
      <c r="F540" s="8" t="s">
        <v>26</v>
      </c>
      <c r="G540" s="3" t="s">
        <v>30</v>
      </c>
      <c r="H540" s="54" t="s">
        <v>840</v>
      </c>
    </row>
    <row r="541" spans="1:8" s="48" customFormat="1" x14ac:dyDescent="0.25">
      <c r="A541" s="52">
        <f t="shared" si="8"/>
        <v>540</v>
      </c>
      <c r="B541" s="28" t="s">
        <v>914</v>
      </c>
      <c r="C541" s="13" t="s">
        <v>970</v>
      </c>
      <c r="D541" s="13" t="s">
        <v>971</v>
      </c>
      <c r="E541" s="1" t="s">
        <v>14</v>
      </c>
      <c r="F541" s="8" t="s">
        <v>945</v>
      </c>
      <c r="G541" s="3" t="s">
        <v>31</v>
      </c>
      <c r="H541" s="54" t="s">
        <v>946</v>
      </c>
    </row>
    <row r="542" spans="1:8" s="48" customFormat="1" ht="20.100000000000001" customHeight="1" x14ac:dyDescent="0.25">
      <c r="A542" s="52">
        <f t="shared" si="8"/>
        <v>541</v>
      </c>
      <c r="B542" s="28" t="s">
        <v>914</v>
      </c>
      <c r="C542" s="13" t="s">
        <v>970</v>
      </c>
      <c r="D542" s="13" t="s">
        <v>971</v>
      </c>
      <c r="E542" s="1" t="s">
        <v>15</v>
      </c>
      <c r="F542" s="8" t="s">
        <v>947</v>
      </c>
      <c r="G542" s="3" t="s">
        <v>30</v>
      </c>
      <c r="H542" s="54" t="s">
        <v>948</v>
      </c>
    </row>
    <row r="543" spans="1:8" s="48" customFormat="1" ht="25.5" x14ac:dyDescent="0.25">
      <c r="A543" s="52">
        <f t="shared" si="8"/>
        <v>542</v>
      </c>
      <c r="B543" s="28" t="s">
        <v>914</v>
      </c>
      <c r="C543" s="13" t="s">
        <v>970</v>
      </c>
      <c r="D543" s="13" t="s">
        <v>971</v>
      </c>
      <c r="E543" s="1" t="s">
        <v>279</v>
      </c>
      <c r="F543" s="8" t="s">
        <v>949</v>
      </c>
      <c r="G543" s="3" t="s">
        <v>30</v>
      </c>
      <c r="H543" s="54" t="s">
        <v>950</v>
      </c>
    </row>
    <row r="544" spans="1:8" s="48" customFormat="1" x14ac:dyDescent="0.25">
      <c r="A544" s="52">
        <f t="shared" si="8"/>
        <v>543</v>
      </c>
      <c r="B544" s="28" t="s">
        <v>914</v>
      </c>
      <c r="C544" s="13" t="s">
        <v>970</v>
      </c>
      <c r="D544" s="13" t="s">
        <v>971</v>
      </c>
      <c r="E544" s="1"/>
      <c r="F544" s="8" t="s">
        <v>29</v>
      </c>
      <c r="G544" s="3" t="s">
        <v>31</v>
      </c>
      <c r="H544" s="54" t="s">
        <v>132</v>
      </c>
    </row>
    <row r="545" spans="1:8" x14ac:dyDescent="0.25">
      <c r="A545" s="52">
        <f t="shared" si="8"/>
        <v>544</v>
      </c>
      <c r="B545" s="28" t="s">
        <v>914</v>
      </c>
      <c r="C545" s="13" t="s">
        <v>970</v>
      </c>
      <c r="D545" s="13" t="s">
        <v>972</v>
      </c>
      <c r="E545" s="1" t="s">
        <v>32</v>
      </c>
      <c r="F545" s="8" t="s">
        <v>16</v>
      </c>
      <c r="G545" s="3" t="s">
        <v>30</v>
      </c>
      <c r="H545" s="54" t="s">
        <v>130</v>
      </c>
    </row>
    <row r="546" spans="1:8" x14ac:dyDescent="0.25">
      <c r="A546" s="52">
        <f t="shared" si="8"/>
        <v>545</v>
      </c>
      <c r="B546" s="28" t="s">
        <v>914</v>
      </c>
      <c r="C546" s="13" t="s">
        <v>970</v>
      </c>
      <c r="D546" s="13" t="s">
        <v>972</v>
      </c>
      <c r="E546" s="2" t="s">
        <v>1</v>
      </c>
      <c r="F546" s="19" t="s">
        <v>17</v>
      </c>
      <c r="G546" s="4" t="s">
        <v>30</v>
      </c>
      <c r="H546" s="54" t="s">
        <v>108</v>
      </c>
    </row>
    <row r="547" spans="1:8" x14ac:dyDescent="0.25">
      <c r="A547" s="52">
        <f t="shared" si="8"/>
        <v>546</v>
      </c>
      <c r="B547" s="28" t="s">
        <v>914</v>
      </c>
      <c r="C547" s="13" t="s">
        <v>970</v>
      </c>
      <c r="D547" s="13" t="s">
        <v>972</v>
      </c>
      <c r="E547" s="1" t="s">
        <v>33</v>
      </c>
      <c r="F547" s="8" t="s">
        <v>69</v>
      </c>
      <c r="G547" s="3" t="s">
        <v>30</v>
      </c>
      <c r="H547" s="54" t="s">
        <v>114</v>
      </c>
    </row>
    <row r="548" spans="1:8" x14ac:dyDescent="0.25">
      <c r="A548" s="52">
        <f t="shared" si="8"/>
        <v>547</v>
      </c>
      <c r="B548" s="28" t="s">
        <v>914</v>
      </c>
      <c r="C548" s="13" t="s">
        <v>970</v>
      </c>
      <c r="D548" s="13" t="s">
        <v>972</v>
      </c>
      <c r="E548" s="1" t="s">
        <v>34</v>
      </c>
      <c r="F548" s="8" t="s">
        <v>152</v>
      </c>
      <c r="G548" s="3" t="s">
        <v>30</v>
      </c>
      <c r="H548" s="54" t="s">
        <v>128</v>
      </c>
    </row>
    <row r="549" spans="1:8" x14ac:dyDescent="0.25">
      <c r="A549" s="52">
        <f t="shared" si="8"/>
        <v>548</v>
      </c>
      <c r="B549" s="28" t="s">
        <v>914</v>
      </c>
      <c r="C549" s="13" t="s">
        <v>970</v>
      </c>
      <c r="D549" s="13" t="s">
        <v>972</v>
      </c>
      <c r="E549" s="1" t="s">
        <v>35</v>
      </c>
      <c r="F549" s="8" t="s">
        <v>205</v>
      </c>
      <c r="G549" s="3" t="s">
        <v>30</v>
      </c>
      <c r="H549" s="54" t="s">
        <v>368</v>
      </c>
    </row>
    <row r="550" spans="1:8" x14ac:dyDescent="0.25">
      <c r="A550" s="52">
        <f t="shared" si="8"/>
        <v>549</v>
      </c>
      <c r="B550" s="28" t="s">
        <v>914</v>
      </c>
      <c r="C550" s="13" t="s">
        <v>970</v>
      </c>
      <c r="D550" s="13" t="s">
        <v>972</v>
      </c>
      <c r="E550" s="1" t="s">
        <v>36</v>
      </c>
      <c r="F550" s="8" t="s">
        <v>294</v>
      </c>
      <c r="G550" s="3" t="s">
        <v>30</v>
      </c>
      <c r="H550" s="54" t="s">
        <v>1021</v>
      </c>
    </row>
    <row r="551" spans="1:8" x14ac:dyDescent="0.25">
      <c r="A551" s="52">
        <f t="shared" si="8"/>
        <v>550</v>
      </c>
      <c r="B551" s="28" t="s">
        <v>914</v>
      </c>
      <c r="C551" s="13" t="s">
        <v>970</v>
      </c>
      <c r="D551" s="13" t="s">
        <v>972</v>
      </c>
      <c r="E551" s="1" t="s">
        <v>37</v>
      </c>
      <c r="F551" s="8" t="s">
        <v>951</v>
      </c>
      <c r="G551" s="3" t="s">
        <v>30</v>
      </c>
      <c r="H551" s="52" t="s">
        <v>400</v>
      </c>
    </row>
    <row r="552" spans="1:8" x14ac:dyDescent="0.25">
      <c r="A552" s="52">
        <f t="shared" si="8"/>
        <v>551</v>
      </c>
      <c r="B552" s="28" t="s">
        <v>914</v>
      </c>
      <c r="C552" s="13" t="s">
        <v>970</v>
      </c>
      <c r="D552" s="13" t="s">
        <v>972</v>
      </c>
      <c r="E552" s="1" t="s">
        <v>38</v>
      </c>
      <c r="F552" s="8" t="s">
        <v>54</v>
      </c>
      <c r="G552" s="3" t="s">
        <v>30</v>
      </c>
      <c r="H552" s="54" t="s">
        <v>116</v>
      </c>
    </row>
    <row r="553" spans="1:8" x14ac:dyDescent="0.25">
      <c r="A553" s="52">
        <f t="shared" si="8"/>
        <v>552</v>
      </c>
      <c r="B553" s="28" t="s">
        <v>914</v>
      </c>
      <c r="C553" s="13" t="s">
        <v>970</v>
      </c>
      <c r="D553" s="13" t="s">
        <v>972</v>
      </c>
      <c r="E553" s="1" t="s">
        <v>40</v>
      </c>
      <c r="F553" s="8" t="s">
        <v>56</v>
      </c>
      <c r="G553" s="3" t="s">
        <v>30</v>
      </c>
      <c r="H553" s="54" t="s">
        <v>842</v>
      </c>
    </row>
    <row r="554" spans="1:8" x14ac:dyDescent="0.25">
      <c r="A554" s="52">
        <f t="shared" si="8"/>
        <v>553</v>
      </c>
      <c r="B554" s="28" t="s">
        <v>914</v>
      </c>
      <c r="C554" s="13" t="s">
        <v>970</v>
      </c>
      <c r="D554" s="13" t="s">
        <v>972</v>
      </c>
      <c r="E554" s="5" t="s">
        <v>41</v>
      </c>
      <c r="F554" s="20" t="s">
        <v>55</v>
      </c>
      <c r="G554" s="7" t="s">
        <v>30</v>
      </c>
      <c r="H554" s="54" t="s">
        <v>117</v>
      </c>
    </row>
    <row r="555" spans="1:8" x14ac:dyDescent="0.25">
      <c r="A555" s="52">
        <f t="shared" si="8"/>
        <v>554</v>
      </c>
      <c r="B555" s="28" t="s">
        <v>914</v>
      </c>
      <c r="C555" s="13" t="s">
        <v>970</v>
      </c>
      <c r="D555" s="13" t="s">
        <v>972</v>
      </c>
      <c r="E555" s="5" t="s">
        <v>192</v>
      </c>
      <c r="F555" s="20" t="s">
        <v>57</v>
      </c>
      <c r="G555" s="7" t="s">
        <v>30</v>
      </c>
      <c r="H555" s="54" t="s">
        <v>898</v>
      </c>
    </row>
    <row r="556" spans="1:8" x14ac:dyDescent="0.25">
      <c r="A556" s="52">
        <f t="shared" si="8"/>
        <v>555</v>
      </c>
      <c r="B556" s="28" t="s">
        <v>914</v>
      </c>
      <c r="C556" s="13" t="s">
        <v>970</v>
      </c>
      <c r="D556" s="13" t="s">
        <v>972</v>
      </c>
      <c r="E556" s="1" t="s">
        <v>42</v>
      </c>
      <c r="F556" s="8" t="s">
        <v>58</v>
      </c>
      <c r="G556" s="3" t="s">
        <v>30</v>
      </c>
      <c r="H556" s="54" t="s">
        <v>119</v>
      </c>
    </row>
    <row r="557" spans="1:8" x14ac:dyDescent="0.25">
      <c r="A557" s="52">
        <f t="shared" si="8"/>
        <v>556</v>
      </c>
      <c r="B557" s="28" t="s">
        <v>914</v>
      </c>
      <c r="C557" s="13" t="s">
        <v>970</v>
      </c>
      <c r="D557" s="13" t="s">
        <v>972</v>
      </c>
      <c r="E557" s="1" t="s">
        <v>44</v>
      </c>
      <c r="F557" s="8" t="s">
        <v>59</v>
      </c>
      <c r="G557" s="3" t="s">
        <v>30</v>
      </c>
      <c r="H557" s="54" t="s">
        <v>120</v>
      </c>
    </row>
    <row r="558" spans="1:8" x14ac:dyDescent="0.25">
      <c r="A558" s="52">
        <f t="shared" si="8"/>
        <v>557</v>
      </c>
      <c r="B558" s="28" t="s">
        <v>914</v>
      </c>
      <c r="C558" s="13" t="s">
        <v>970</v>
      </c>
      <c r="D558" s="13" t="s">
        <v>972</v>
      </c>
      <c r="E558" s="1" t="s">
        <v>45</v>
      </c>
      <c r="F558" s="8" t="s">
        <v>60</v>
      </c>
      <c r="G558" s="3" t="s">
        <v>30</v>
      </c>
      <c r="H558" s="54" t="s">
        <v>404</v>
      </c>
    </row>
    <row r="559" spans="1:8" x14ac:dyDescent="0.25">
      <c r="A559" s="52">
        <f t="shared" si="8"/>
        <v>558</v>
      </c>
      <c r="B559" s="28" t="s">
        <v>914</v>
      </c>
      <c r="C559" s="13" t="s">
        <v>970</v>
      </c>
      <c r="D559" s="13" t="s">
        <v>972</v>
      </c>
      <c r="E559" s="1" t="s">
        <v>47</v>
      </c>
      <c r="F559" s="8" t="s">
        <v>62</v>
      </c>
      <c r="G559" s="3" t="s">
        <v>30</v>
      </c>
      <c r="H559" s="54" t="s">
        <v>122</v>
      </c>
    </row>
    <row r="560" spans="1:8" s="46" customFormat="1" x14ac:dyDescent="0.25">
      <c r="A560" s="52">
        <f t="shared" si="8"/>
        <v>559</v>
      </c>
      <c r="B560" s="28" t="s">
        <v>914</v>
      </c>
      <c r="C560" s="13" t="s">
        <v>970</v>
      </c>
      <c r="D560" s="13" t="s">
        <v>972</v>
      </c>
      <c r="E560" s="6" t="s">
        <v>48</v>
      </c>
      <c r="F560" s="21" t="s">
        <v>934</v>
      </c>
      <c r="G560" s="9" t="s">
        <v>30</v>
      </c>
      <c r="H560" s="54" t="s">
        <v>405</v>
      </c>
    </row>
    <row r="561" spans="1:8" x14ac:dyDescent="0.25">
      <c r="A561" s="52">
        <f t="shared" si="8"/>
        <v>560</v>
      </c>
      <c r="B561" s="28" t="s">
        <v>914</v>
      </c>
      <c r="C561" s="13" t="s">
        <v>970</v>
      </c>
      <c r="D561" s="13" t="s">
        <v>972</v>
      </c>
      <c r="E561" s="1" t="s">
        <v>49</v>
      </c>
      <c r="F561" s="8" t="s">
        <v>61</v>
      </c>
      <c r="G561" s="3" t="s">
        <v>30</v>
      </c>
      <c r="H561" s="54" t="s">
        <v>129</v>
      </c>
    </row>
    <row r="562" spans="1:8" s="46" customFormat="1" x14ac:dyDescent="0.25">
      <c r="A562" s="52">
        <f t="shared" si="8"/>
        <v>561</v>
      </c>
      <c r="B562" s="28" t="s">
        <v>914</v>
      </c>
      <c r="C562" s="13" t="s">
        <v>970</v>
      </c>
      <c r="D562" s="13" t="s">
        <v>972</v>
      </c>
      <c r="E562" s="1" t="s">
        <v>50</v>
      </c>
      <c r="F562" s="8" t="s">
        <v>214</v>
      </c>
      <c r="G562" s="3" t="s">
        <v>30</v>
      </c>
      <c r="H562" s="54" t="s">
        <v>1091</v>
      </c>
    </row>
    <row r="563" spans="1:8" s="46" customFormat="1" x14ac:dyDescent="0.25">
      <c r="A563" s="52">
        <f t="shared" si="8"/>
        <v>562</v>
      </c>
      <c r="B563" s="28" t="s">
        <v>914</v>
      </c>
      <c r="C563" s="13" t="s">
        <v>970</v>
      </c>
      <c r="D563" s="13" t="s">
        <v>972</v>
      </c>
      <c r="E563" s="1" t="s">
        <v>221</v>
      </c>
      <c r="F563" s="8" t="s">
        <v>935</v>
      </c>
      <c r="G563" s="3" t="s">
        <v>30</v>
      </c>
      <c r="H563" s="54" t="s">
        <v>406</v>
      </c>
    </row>
    <row r="564" spans="1:8" x14ac:dyDescent="0.25">
      <c r="A564" s="52">
        <f t="shared" si="8"/>
        <v>563</v>
      </c>
      <c r="B564" s="28" t="s">
        <v>914</v>
      </c>
      <c r="C564" s="13" t="s">
        <v>970</v>
      </c>
      <c r="D564" s="13" t="s">
        <v>972</v>
      </c>
      <c r="E564" s="1" t="s">
        <v>51</v>
      </c>
      <c r="F564" s="8" t="s">
        <v>952</v>
      </c>
      <c r="G564" s="3" t="s">
        <v>30</v>
      </c>
      <c r="H564" s="52" t="s">
        <v>1140</v>
      </c>
    </row>
    <row r="565" spans="1:8" s="46" customFormat="1" x14ac:dyDescent="0.25">
      <c r="A565" s="52">
        <f t="shared" si="8"/>
        <v>564</v>
      </c>
      <c r="B565" s="28" t="s">
        <v>914</v>
      </c>
      <c r="C565" s="13" t="s">
        <v>970</v>
      </c>
      <c r="D565" s="13" t="s">
        <v>972</v>
      </c>
      <c r="E565" s="1" t="s">
        <v>224</v>
      </c>
      <c r="F565" s="8" t="s">
        <v>64</v>
      </c>
      <c r="G565" s="3" t="s">
        <v>30</v>
      </c>
      <c r="H565" s="54" t="s">
        <v>123</v>
      </c>
    </row>
    <row r="566" spans="1:8" x14ac:dyDescent="0.25">
      <c r="A566" s="52">
        <f t="shared" si="8"/>
        <v>565</v>
      </c>
      <c r="B566" s="28" t="s">
        <v>914</v>
      </c>
      <c r="C566" s="13" t="s">
        <v>970</v>
      </c>
      <c r="D566" s="13" t="s">
        <v>972</v>
      </c>
      <c r="E566" s="6" t="s">
        <v>228</v>
      </c>
      <c r="F566" s="21" t="s">
        <v>958</v>
      </c>
      <c r="G566" s="9" t="s">
        <v>30</v>
      </c>
      <c r="H566" s="54" t="s">
        <v>391</v>
      </c>
    </row>
    <row r="567" spans="1:8" s="46" customFormat="1" x14ac:dyDescent="0.25">
      <c r="A567" s="52">
        <f t="shared" si="8"/>
        <v>566</v>
      </c>
      <c r="B567" s="28" t="s">
        <v>914</v>
      </c>
      <c r="C567" s="13" t="s">
        <v>970</v>
      </c>
      <c r="D567" s="13" t="s">
        <v>972</v>
      </c>
      <c r="E567" s="6" t="s">
        <v>231</v>
      </c>
      <c r="F567" s="21" t="s">
        <v>956</v>
      </c>
      <c r="G567" s="9" t="s">
        <v>30</v>
      </c>
      <c r="H567" s="54" t="s">
        <v>125</v>
      </c>
    </row>
    <row r="568" spans="1:8" s="46" customFormat="1" x14ac:dyDescent="0.25">
      <c r="A568" s="52">
        <f t="shared" si="8"/>
        <v>567</v>
      </c>
      <c r="B568" s="28" t="s">
        <v>914</v>
      </c>
      <c r="C568" s="13" t="s">
        <v>970</v>
      </c>
      <c r="D568" s="13" t="s">
        <v>972</v>
      </c>
      <c r="E568" s="6" t="s">
        <v>938</v>
      </c>
      <c r="F568" s="21" t="s">
        <v>957</v>
      </c>
      <c r="G568" s="9" t="s">
        <v>30</v>
      </c>
      <c r="H568" s="54" t="s">
        <v>392</v>
      </c>
    </row>
    <row r="569" spans="1:8" s="46" customFormat="1" x14ac:dyDescent="0.25">
      <c r="A569" s="52">
        <f t="shared" si="8"/>
        <v>568</v>
      </c>
      <c r="B569" s="28" t="s">
        <v>914</v>
      </c>
      <c r="C569" s="13" t="s">
        <v>970</v>
      </c>
      <c r="D569" s="13" t="s">
        <v>972</v>
      </c>
      <c r="E569" s="6" t="s">
        <v>940</v>
      </c>
      <c r="F569" s="21" t="s">
        <v>937</v>
      </c>
      <c r="G569" s="9" t="s">
        <v>30</v>
      </c>
      <c r="H569" s="54" t="s">
        <v>959</v>
      </c>
    </row>
    <row r="570" spans="1:8" s="46" customFormat="1" x14ac:dyDescent="0.25">
      <c r="A570" s="52">
        <f t="shared" si="8"/>
        <v>569</v>
      </c>
      <c r="B570" s="28" t="s">
        <v>914</v>
      </c>
      <c r="C570" s="13" t="s">
        <v>970</v>
      </c>
      <c r="D570" s="13" t="s">
        <v>972</v>
      </c>
      <c r="E570" s="6" t="s">
        <v>953</v>
      </c>
      <c r="F570" s="21" t="s">
        <v>225</v>
      </c>
      <c r="G570" s="9" t="s">
        <v>30</v>
      </c>
      <c r="H570" s="54" t="s">
        <v>1120</v>
      </c>
    </row>
    <row r="571" spans="1:8" s="46" customFormat="1" x14ac:dyDescent="0.25">
      <c r="A571" s="52">
        <f t="shared" si="8"/>
        <v>570</v>
      </c>
      <c r="B571" s="28" t="s">
        <v>914</v>
      </c>
      <c r="C571" s="13" t="s">
        <v>970</v>
      </c>
      <c r="D571" s="13" t="s">
        <v>972</v>
      </c>
      <c r="E571" s="6" t="s">
        <v>954</v>
      </c>
      <c r="F571" s="21" t="s">
        <v>939</v>
      </c>
      <c r="G571" s="9" t="s">
        <v>30</v>
      </c>
      <c r="H571" s="52" t="s">
        <v>1047</v>
      </c>
    </row>
    <row r="572" spans="1:8" s="46" customFormat="1" x14ac:dyDescent="0.25">
      <c r="A572" s="52">
        <f t="shared" si="8"/>
        <v>571</v>
      </c>
      <c r="B572" s="28" t="s">
        <v>914</v>
      </c>
      <c r="C572" s="13" t="s">
        <v>970</v>
      </c>
      <c r="D572" s="13" t="s">
        <v>972</v>
      </c>
      <c r="E572" s="6" t="s">
        <v>955</v>
      </c>
      <c r="F572" s="21" t="s">
        <v>1090</v>
      </c>
      <c r="G572" s="9" t="s">
        <v>30</v>
      </c>
      <c r="H572" s="54" t="s">
        <v>883</v>
      </c>
    </row>
    <row r="573" spans="1:8" s="46" customFormat="1" x14ac:dyDescent="0.25">
      <c r="A573" s="52">
        <f t="shared" si="8"/>
        <v>572</v>
      </c>
      <c r="B573" s="28" t="s">
        <v>914</v>
      </c>
      <c r="C573" s="13" t="s">
        <v>970</v>
      </c>
      <c r="D573" s="13" t="s">
        <v>972</v>
      </c>
      <c r="E573" s="1"/>
      <c r="F573" s="19" t="s">
        <v>29</v>
      </c>
      <c r="G573" s="2" t="s">
        <v>31</v>
      </c>
      <c r="H573" s="54" t="s">
        <v>132</v>
      </c>
    </row>
    <row r="574" spans="1:8" x14ac:dyDescent="0.25">
      <c r="A574" s="52">
        <f t="shared" si="8"/>
        <v>573</v>
      </c>
      <c r="B574" s="28" t="s">
        <v>914</v>
      </c>
      <c r="C574" s="13" t="s">
        <v>970</v>
      </c>
      <c r="D574" s="1" t="s">
        <v>973</v>
      </c>
      <c r="E574" s="1" t="s">
        <v>0</v>
      </c>
      <c r="F574" s="8" t="s">
        <v>16</v>
      </c>
      <c r="G574" s="3" t="s">
        <v>30</v>
      </c>
      <c r="H574" s="54" t="s">
        <v>130</v>
      </c>
    </row>
    <row r="575" spans="1:8" x14ac:dyDescent="0.25">
      <c r="A575" s="52">
        <f t="shared" si="8"/>
        <v>574</v>
      </c>
      <c r="B575" s="28" t="s">
        <v>914</v>
      </c>
      <c r="C575" s="13" t="s">
        <v>970</v>
      </c>
      <c r="D575" s="1" t="s">
        <v>973</v>
      </c>
      <c r="E575" s="1" t="s">
        <v>1</v>
      </c>
      <c r="F575" s="8" t="s">
        <v>17</v>
      </c>
      <c r="G575" s="3" t="s">
        <v>30</v>
      </c>
      <c r="H575" s="54" t="s">
        <v>108</v>
      </c>
    </row>
    <row r="576" spans="1:8" x14ac:dyDescent="0.25">
      <c r="A576" s="52">
        <f t="shared" si="8"/>
        <v>575</v>
      </c>
      <c r="B576" s="28" t="s">
        <v>914</v>
      </c>
      <c r="C576" s="13" t="s">
        <v>970</v>
      </c>
      <c r="D576" s="1" t="s">
        <v>973</v>
      </c>
      <c r="E576" s="1" t="s">
        <v>33</v>
      </c>
      <c r="F576" s="8" t="s">
        <v>69</v>
      </c>
      <c r="G576" s="3" t="s">
        <v>30</v>
      </c>
      <c r="H576" s="54" t="s">
        <v>114</v>
      </c>
    </row>
    <row r="577" spans="1:8" s="46" customFormat="1" x14ac:dyDescent="0.25">
      <c r="A577" s="52">
        <f t="shared" si="8"/>
        <v>576</v>
      </c>
      <c r="B577" s="28" t="s">
        <v>914</v>
      </c>
      <c r="C577" s="13" t="s">
        <v>970</v>
      </c>
      <c r="D577" s="1" t="s">
        <v>973</v>
      </c>
      <c r="E577" s="1" t="s">
        <v>70</v>
      </c>
      <c r="F577" s="8" t="s">
        <v>82</v>
      </c>
      <c r="G577" s="3" t="s">
        <v>30</v>
      </c>
      <c r="H577" s="52" t="s">
        <v>393</v>
      </c>
    </row>
    <row r="578" spans="1:8" s="46" customFormat="1" x14ac:dyDescent="0.25">
      <c r="A578" s="52">
        <f t="shared" si="8"/>
        <v>577</v>
      </c>
      <c r="B578" s="28" t="s">
        <v>914</v>
      </c>
      <c r="C578" s="13" t="s">
        <v>970</v>
      </c>
      <c r="D578" s="1" t="s">
        <v>973</v>
      </c>
      <c r="E578" s="1" t="s">
        <v>72</v>
      </c>
      <c r="F578" s="8" t="s">
        <v>83</v>
      </c>
      <c r="G578" s="3" t="s">
        <v>30</v>
      </c>
      <c r="H578" s="54" t="s">
        <v>395</v>
      </c>
    </row>
    <row r="579" spans="1:8" x14ac:dyDescent="0.25">
      <c r="A579" s="52">
        <f t="shared" si="8"/>
        <v>578</v>
      </c>
      <c r="B579" s="28" t="s">
        <v>914</v>
      </c>
      <c r="C579" s="13" t="s">
        <v>970</v>
      </c>
      <c r="D579" s="1" t="s">
        <v>973</v>
      </c>
      <c r="E579" s="1" t="s">
        <v>74</v>
      </c>
      <c r="F579" s="8" t="s">
        <v>71</v>
      </c>
      <c r="G579" s="3" t="s">
        <v>30</v>
      </c>
      <c r="H579" s="54" t="s">
        <v>131</v>
      </c>
    </row>
    <row r="580" spans="1:8" x14ac:dyDescent="0.25">
      <c r="A580" s="52">
        <f t="shared" ref="A580:A643" si="9">+A579+1</f>
        <v>579</v>
      </c>
      <c r="B580" s="28" t="s">
        <v>914</v>
      </c>
      <c r="C580" s="13" t="s">
        <v>970</v>
      </c>
      <c r="D580" s="1" t="s">
        <v>973</v>
      </c>
      <c r="E580" s="1" t="s">
        <v>237</v>
      </c>
      <c r="F580" s="8" t="s">
        <v>73</v>
      </c>
      <c r="G580" s="3" t="s">
        <v>30</v>
      </c>
      <c r="H580" s="54" t="s">
        <v>126</v>
      </c>
    </row>
    <row r="581" spans="1:8" x14ac:dyDescent="0.25">
      <c r="A581" s="52">
        <f t="shared" si="9"/>
        <v>580</v>
      </c>
      <c r="B581" s="28" t="s">
        <v>914</v>
      </c>
      <c r="C581" s="13" t="s">
        <v>970</v>
      </c>
      <c r="D581" s="1" t="s">
        <v>973</v>
      </c>
      <c r="E581" s="10" t="s">
        <v>76</v>
      </c>
      <c r="F581" s="8" t="s">
        <v>79</v>
      </c>
      <c r="G581" s="3" t="s">
        <v>30</v>
      </c>
      <c r="H581" s="54" t="s">
        <v>913</v>
      </c>
    </row>
    <row r="582" spans="1:8" s="46" customFormat="1" x14ac:dyDescent="0.25">
      <c r="A582" s="52">
        <f t="shared" si="9"/>
        <v>581</v>
      </c>
      <c r="B582" s="28" t="s">
        <v>914</v>
      </c>
      <c r="C582" s="13" t="s">
        <v>970</v>
      </c>
      <c r="D582" s="1" t="s">
        <v>973</v>
      </c>
      <c r="E582" s="1" t="s">
        <v>77</v>
      </c>
      <c r="F582" s="8" t="s">
        <v>941</v>
      </c>
      <c r="G582" s="3" t="s">
        <v>30</v>
      </c>
      <c r="H582" s="52" t="s">
        <v>1130</v>
      </c>
    </row>
    <row r="583" spans="1:8" s="46" customFormat="1" x14ac:dyDescent="0.25">
      <c r="A583" s="52">
        <f t="shared" si="9"/>
        <v>582</v>
      </c>
      <c r="B583" s="28" t="s">
        <v>914</v>
      </c>
      <c r="C583" s="13" t="s">
        <v>970</v>
      </c>
      <c r="D583" s="1" t="s">
        <v>973</v>
      </c>
      <c r="E583" s="1" t="s">
        <v>78</v>
      </c>
      <c r="F583" s="8" t="s">
        <v>942</v>
      </c>
      <c r="G583" s="3" t="s">
        <v>30</v>
      </c>
      <c r="H583" s="52" t="s">
        <v>1126</v>
      </c>
    </row>
    <row r="584" spans="1:8" x14ac:dyDescent="0.25">
      <c r="A584" s="52">
        <f t="shared" si="9"/>
        <v>583</v>
      </c>
      <c r="B584" s="28" t="s">
        <v>914</v>
      </c>
      <c r="C584" s="13" t="s">
        <v>970</v>
      </c>
      <c r="D584" s="1" t="s">
        <v>1114</v>
      </c>
      <c r="E584" s="2" t="s">
        <v>259</v>
      </c>
      <c r="F584" s="19" t="s">
        <v>199</v>
      </c>
      <c r="G584" s="2" t="s">
        <v>30</v>
      </c>
      <c r="H584" s="54" t="s">
        <v>130</v>
      </c>
    </row>
    <row r="585" spans="1:8" x14ac:dyDescent="0.25">
      <c r="A585" s="52">
        <f t="shared" si="9"/>
        <v>584</v>
      </c>
      <c r="B585" s="28" t="s">
        <v>914</v>
      </c>
      <c r="C585" s="13" t="s">
        <v>970</v>
      </c>
      <c r="D585" s="1" t="s">
        <v>1114</v>
      </c>
      <c r="E585" s="13" t="s">
        <v>33</v>
      </c>
      <c r="F585" s="18" t="s">
        <v>69</v>
      </c>
      <c r="G585" s="2" t="s">
        <v>30</v>
      </c>
      <c r="H585" s="54" t="s">
        <v>114</v>
      </c>
    </row>
    <row r="586" spans="1:8" x14ac:dyDescent="0.25">
      <c r="A586" s="52">
        <f t="shared" si="9"/>
        <v>585</v>
      </c>
      <c r="B586" s="28" t="s">
        <v>914</v>
      </c>
      <c r="C586" s="13" t="s">
        <v>970</v>
      </c>
      <c r="D586" s="1" t="s">
        <v>1114</v>
      </c>
      <c r="E586" s="13" t="s">
        <v>197</v>
      </c>
      <c r="F586" s="18" t="s">
        <v>182</v>
      </c>
      <c r="G586" s="2" t="s">
        <v>30</v>
      </c>
      <c r="H586" t="s">
        <v>1123</v>
      </c>
    </row>
    <row r="587" spans="1:8" x14ac:dyDescent="0.25">
      <c r="A587" s="52">
        <f t="shared" si="9"/>
        <v>586</v>
      </c>
      <c r="B587" s="28" t="s">
        <v>914</v>
      </c>
      <c r="C587" s="13" t="s">
        <v>970</v>
      </c>
      <c r="D587" s="1" t="s">
        <v>974</v>
      </c>
      <c r="E587" s="1" t="s">
        <v>32</v>
      </c>
      <c r="F587" s="8" t="s">
        <v>16</v>
      </c>
      <c r="G587" s="3" t="s">
        <v>30</v>
      </c>
      <c r="H587" s="54" t="s">
        <v>108</v>
      </c>
    </row>
    <row r="588" spans="1:8" x14ac:dyDescent="0.25">
      <c r="A588" s="52">
        <f t="shared" si="9"/>
        <v>587</v>
      </c>
      <c r="B588" s="28" t="s">
        <v>914</v>
      </c>
      <c r="C588" s="13" t="s">
        <v>970</v>
      </c>
      <c r="D588" s="1" t="s">
        <v>974</v>
      </c>
      <c r="E588" s="1" t="s">
        <v>33</v>
      </c>
      <c r="F588" s="8" t="s">
        <v>69</v>
      </c>
      <c r="G588" s="3" t="s">
        <v>30</v>
      </c>
      <c r="H588" s="54" t="s">
        <v>114</v>
      </c>
    </row>
    <row r="589" spans="1:8" x14ac:dyDescent="0.25">
      <c r="A589" s="52">
        <f t="shared" si="9"/>
        <v>588</v>
      </c>
      <c r="B589" s="28" t="s">
        <v>914</v>
      </c>
      <c r="C589" s="13" t="s">
        <v>970</v>
      </c>
      <c r="D589" s="1" t="s">
        <v>974</v>
      </c>
      <c r="E589" s="1" t="s">
        <v>85</v>
      </c>
      <c r="F589" s="8" t="s">
        <v>88</v>
      </c>
      <c r="G589" s="3" t="s">
        <v>30</v>
      </c>
    </row>
    <row r="590" spans="1:8" x14ac:dyDescent="0.25">
      <c r="A590" s="52">
        <f t="shared" si="9"/>
        <v>589</v>
      </c>
      <c r="B590" s="28" t="s">
        <v>914</v>
      </c>
      <c r="C590" s="13" t="s">
        <v>970</v>
      </c>
      <c r="D590" s="1" t="s">
        <v>974</v>
      </c>
      <c r="E590" s="1" t="s">
        <v>86</v>
      </c>
      <c r="F590" s="8" t="s">
        <v>89</v>
      </c>
      <c r="G590" s="3" t="s">
        <v>30</v>
      </c>
    </row>
    <row r="591" spans="1:8" x14ac:dyDescent="0.25">
      <c r="A591" s="52">
        <f t="shared" si="9"/>
        <v>590</v>
      </c>
      <c r="B591" s="28" t="s">
        <v>914</v>
      </c>
      <c r="C591" s="13" t="s">
        <v>970</v>
      </c>
      <c r="D591" s="1" t="s">
        <v>974</v>
      </c>
      <c r="E591" s="1" t="s">
        <v>87</v>
      </c>
      <c r="F591" s="8" t="s">
        <v>90</v>
      </c>
      <c r="G591" s="3" t="s">
        <v>30</v>
      </c>
    </row>
    <row r="592" spans="1:8" x14ac:dyDescent="0.25">
      <c r="A592" s="52">
        <f t="shared" si="9"/>
        <v>591</v>
      </c>
      <c r="B592" s="28" t="s">
        <v>914</v>
      </c>
      <c r="C592" s="13" t="s">
        <v>970</v>
      </c>
      <c r="D592" s="1" t="s">
        <v>1039</v>
      </c>
      <c r="E592" s="1" t="s">
        <v>0</v>
      </c>
      <c r="F592" s="8" t="s">
        <v>16</v>
      </c>
      <c r="G592" s="2" t="s">
        <v>30</v>
      </c>
      <c r="H592" s="54" t="s">
        <v>130</v>
      </c>
    </row>
    <row r="593" spans="1:8" x14ac:dyDescent="0.25">
      <c r="A593" s="52">
        <f t="shared" si="9"/>
        <v>592</v>
      </c>
      <c r="B593" s="28" t="s">
        <v>914</v>
      </c>
      <c r="C593" s="13" t="s">
        <v>970</v>
      </c>
      <c r="D593" s="1" t="s">
        <v>1039</v>
      </c>
      <c r="E593" s="1" t="s">
        <v>1</v>
      </c>
      <c r="F593" s="8" t="s">
        <v>17</v>
      </c>
      <c r="G593" s="2" t="s">
        <v>30</v>
      </c>
      <c r="H593" s="54" t="s">
        <v>108</v>
      </c>
    </row>
    <row r="594" spans="1:8" x14ac:dyDescent="0.25">
      <c r="A594" s="52">
        <f t="shared" si="9"/>
        <v>593</v>
      </c>
      <c r="B594" s="28" t="s">
        <v>914</v>
      </c>
      <c r="C594" s="13" t="s">
        <v>970</v>
      </c>
      <c r="D594" s="1" t="s">
        <v>1039</v>
      </c>
      <c r="E594" s="1" t="s">
        <v>33</v>
      </c>
      <c r="F594" s="8" t="s">
        <v>69</v>
      </c>
      <c r="G594" s="2" t="s">
        <v>30</v>
      </c>
      <c r="H594" s="54" t="s">
        <v>114</v>
      </c>
    </row>
    <row r="595" spans="1:8" x14ac:dyDescent="0.25">
      <c r="A595" s="52">
        <f t="shared" si="9"/>
        <v>594</v>
      </c>
      <c r="B595" s="28" t="s">
        <v>914</v>
      </c>
      <c r="C595" s="13" t="s">
        <v>970</v>
      </c>
      <c r="D595" s="1" t="s">
        <v>1039</v>
      </c>
      <c r="E595" s="1" t="s">
        <v>0</v>
      </c>
      <c r="F595" s="8" t="s">
        <v>1038</v>
      </c>
      <c r="G595" s="2" t="s">
        <v>30</v>
      </c>
      <c r="H595" t="s">
        <v>1332</v>
      </c>
    </row>
    <row r="596" spans="1:8" x14ac:dyDescent="0.25">
      <c r="A596" s="52">
        <f t="shared" si="9"/>
        <v>595</v>
      </c>
      <c r="B596" s="28" t="s">
        <v>914</v>
      </c>
      <c r="C596" s="13" t="s">
        <v>970</v>
      </c>
      <c r="D596" s="1" t="s">
        <v>1039</v>
      </c>
      <c r="E596" s="1" t="s">
        <v>33</v>
      </c>
      <c r="F596" s="8" t="s">
        <v>1024</v>
      </c>
      <c r="G596" s="2" t="s">
        <v>30</v>
      </c>
      <c r="H596" t="s">
        <v>1329</v>
      </c>
    </row>
    <row r="597" spans="1:8" x14ac:dyDescent="0.25">
      <c r="A597" s="52">
        <f t="shared" si="9"/>
        <v>596</v>
      </c>
      <c r="B597" s="28" t="s">
        <v>914</v>
      </c>
      <c r="C597" s="13" t="s">
        <v>970</v>
      </c>
      <c r="D597" s="1" t="s">
        <v>1039</v>
      </c>
      <c r="E597" s="1" t="s">
        <v>40</v>
      </c>
      <c r="F597" s="8" t="s">
        <v>1026</v>
      </c>
      <c r="G597" s="2" t="s">
        <v>30</v>
      </c>
    </row>
    <row r="598" spans="1:8" ht="15.95" customHeight="1" x14ac:dyDescent="0.25">
      <c r="A598" s="52">
        <f t="shared" si="9"/>
        <v>597</v>
      </c>
      <c r="B598" s="28" t="s">
        <v>914</v>
      </c>
      <c r="C598" s="13" t="s">
        <v>970</v>
      </c>
      <c r="D598" s="1" t="s">
        <v>1039</v>
      </c>
      <c r="E598" s="1" t="s">
        <v>42</v>
      </c>
      <c r="F598" s="19" t="s">
        <v>1036</v>
      </c>
      <c r="G598" s="2" t="s">
        <v>30</v>
      </c>
      <c r="H598" t="s">
        <v>1330</v>
      </c>
    </row>
    <row r="599" spans="1:8" ht="15.95" customHeight="1" x14ac:dyDescent="0.25">
      <c r="A599" s="52">
        <f t="shared" si="9"/>
        <v>598</v>
      </c>
      <c r="B599" s="28" t="s">
        <v>914</v>
      </c>
      <c r="C599" s="13" t="s">
        <v>970</v>
      </c>
      <c r="D599" s="1" t="s">
        <v>1039</v>
      </c>
      <c r="E599" s="13" t="s">
        <v>49</v>
      </c>
      <c r="F599" s="8" t="s">
        <v>61</v>
      </c>
      <c r="G599" s="2" t="s">
        <v>30</v>
      </c>
      <c r="H599" t="s">
        <v>1331</v>
      </c>
    </row>
    <row r="600" spans="1:8" x14ac:dyDescent="0.25">
      <c r="A600" s="52">
        <f t="shared" si="9"/>
        <v>599</v>
      </c>
      <c r="B600" s="28" t="s">
        <v>914</v>
      </c>
      <c r="C600" s="13" t="s">
        <v>970</v>
      </c>
      <c r="D600" s="1" t="s">
        <v>1039</v>
      </c>
      <c r="E600" s="13" t="s">
        <v>1028</v>
      </c>
      <c r="F600" s="18" t="s">
        <v>1030</v>
      </c>
      <c r="G600" s="3" t="s">
        <v>30</v>
      </c>
      <c r="H600" s="54" t="s">
        <v>1318</v>
      </c>
    </row>
    <row r="601" spans="1:8" x14ac:dyDescent="0.25">
      <c r="A601" s="52">
        <f t="shared" si="9"/>
        <v>600</v>
      </c>
      <c r="B601" s="28" t="s">
        <v>914</v>
      </c>
      <c r="C601" s="13" t="s">
        <v>970</v>
      </c>
      <c r="D601" s="1" t="s">
        <v>1039</v>
      </c>
      <c r="E601" s="13" t="s">
        <v>1029</v>
      </c>
      <c r="F601" s="18" t="s">
        <v>1031</v>
      </c>
      <c r="G601" s="3" t="s">
        <v>30</v>
      </c>
    </row>
    <row r="602" spans="1:8" x14ac:dyDescent="0.25">
      <c r="A602" s="52">
        <f t="shared" si="9"/>
        <v>601</v>
      </c>
      <c r="B602" s="28" t="s">
        <v>914</v>
      </c>
      <c r="C602" s="13" t="s">
        <v>970</v>
      </c>
      <c r="D602" s="1" t="s">
        <v>975</v>
      </c>
      <c r="E602" s="1" t="s">
        <v>91</v>
      </c>
      <c r="F602" s="8" t="s">
        <v>16</v>
      </c>
      <c r="G602" s="3" t="s">
        <v>30</v>
      </c>
    </row>
    <row r="603" spans="1:8" x14ac:dyDescent="0.25">
      <c r="A603" s="52">
        <f t="shared" si="9"/>
        <v>602</v>
      </c>
      <c r="B603" s="28" t="s">
        <v>914</v>
      </c>
      <c r="C603" s="13" t="s">
        <v>970</v>
      </c>
      <c r="D603" s="1" t="s">
        <v>975</v>
      </c>
      <c r="E603" s="12" t="s">
        <v>92</v>
      </c>
      <c r="F603" s="25" t="s">
        <v>69</v>
      </c>
      <c r="G603" s="3" t="s">
        <v>30</v>
      </c>
    </row>
    <row r="604" spans="1:8" x14ac:dyDescent="0.25">
      <c r="A604" s="52">
        <f t="shared" si="9"/>
        <v>603</v>
      </c>
      <c r="B604" s="28" t="s">
        <v>914</v>
      </c>
      <c r="C604" s="13" t="s">
        <v>970</v>
      </c>
      <c r="D604" s="1" t="s">
        <v>975</v>
      </c>
      <c r="E604" s="12" t="s">
        <v>93</v>
      </c>
      <c r="F604" s="8" t="s">
        <v>99</v>
      </c>
      <c r="G604" s="3" t="s">
        <v>30</v>
      </c>
    </row>
    <row r="605" spans="1:8" x14ac:dyDescent="0.25">
      <c r="A605" s="52">
        <f t="shared" si="9"/>
        <v>604</v>
      </c>
      <c r="B605" s="28" t="s">
        <v>914</v>
      </c>
      <c r="C605" s="13" t="s">
        <v>970</v>
      </c>
      <c r="D605" s="1" t="s">
        <v>975</v>
      </c>
      <c r="E605" s="12" t="s">
        <v>94</v>
      </c>
      <c r="F605" s="8" t="s">
        <v>100</v>
      </c>
      <c r="G605" s="3" t="s">
        <v>30</v>
      </c>
    </row>
    <row r="606" spans="1:8" x14ac:dyDescent="0.25">
      <c r="A606" s="52">
        <f t="shared" si="9"/>
        <v>605</v>
      </c>
      <c r="B606" s="28" t="s">
        <v>914</v>
      </c>
      <c r="C606" s="13" t="s">
        <v>970</v>
      </c>
      <c r="D606" s="1" t="s">
        <v>975</v>
      </c>
      <c r="E606" s="12" t="s">
        <v>95</v>
      </c>
      <c r="F606" s="8" t="s">
        <v>89</v>
      </c>
      <c r="G606" s="3" t="s">
        <v>30</v>
      </c>
    </row>
    <row r="607" spans="1:8" x14ac:dyDescent="0.25">
      <c r="A607" s="52">
        <f t="shared" si="9"/>
        <v>606</v>
      </c>
      <c r="B607" s="28" t="s">
        <v>914</v>
      </c>
      <c r="C607" s="13" t="s">
        <v>970</v>
      </c>
      <c r="D607" s="1" t="s">
        <v>975</v>
      </c>
      <c r="E607" s="12" t="s">
        <v>96</v>
      </c>
      <c r="F607" s="8" t="s">
        <v>101</v>
      </c>
      <c r="G607" s="3" t="s">
        <v>30</v>
      </c>
    </row>
    <row r="608" spans="1:8" x14ac:dyDescent="0.25">
      <c r="A608" s="52">
        <f t="shared" si="9"/>
        <v>607</v>
      </c>
      <c r="B608" s="28" t="s">
        <v>914</v>
      </c>
      <c r="C608" s="13" t="s">
        <v>970</v>
      </c>
      <c r="D608" s="1" t="s">
        <v>975</v>
      </c>
      <c r="E608" s="12" t="s">
        <v>97</v>
      </c>
      <c r="F608" s="8" t="s">
        <v>102</v>
      </c>
      <c r="G608" s="3" t="s">
        <v>30</v>
      </c>
    </row>
    <row r="609" spans="1:8" x14ac:dyDescent="0.25">
      <c r="A609" s="52">
        <f t="shared" si="9"/>
        <v>608</v>
      </c>
      <c r="B609" s="28" t="s">
        <v>914</v>
      </c>
      <c r="C609" s="13" t="s">
        <v>970</v>
      </c>
      <c r="D609" s="1" t="s">
        <v>975</v>
      </c>
      <c r="E609" s="12" t="s">
        <v>98</v>
      </c>
      <c r="F609" s="8" t="s">
        <v>103</v>
      </c>
      <c r="G609" s="3" t="s">
        <v>30</v>
      </c>
    </row>
    <row r="610" spans="1:8" x14ac:dyDescent="0.25">
      <c r="A610" s="52">
        <f t="shared" si="9"/>
        <v>609</v>
      </c>
      <c r="B610" s="28" t="s">
        <v>1057</v>
      </c>
      <c r="C610" s="13" t="s">
        <v>1060</v>
      </c>
      <c r="D610" s="13" t="s">
        <v>1061</v>
      </c>
      <c r="E610" s="13" t="s">
        <v>0</v>
      </c>
      <c r="F610" s="18" t="s">
        <v>1067</v>
      </c>
      <c r="G610" s="14" t="s">
        <v>30</v>
      </c>
      <c r="H610" s="54" t="s">
        <v>130</v>
      </c>
    </row>
    <row r="611" spans="1:8" x14ac:dyDescent="0.25">
      <c r="A611" s="52">
        <f t="shared" si="9"/>
        <v>610</v>
      </c>
      <c r="B611" s="28" t="s">
        <v>1057</v>
      </c>
      <c r="C611" s="13" t="s">
        <v>1060</v>
      </c>
      <c r="D611" s="13" t="s">
        <v>1061</v>
      </c>
      <c r="E611" s="2" t="s">
        <v>1</v>
      </c>
      <c r="F611" s="19" t="s">
        <v>17</v>
      </c>
      <c r="G611" s="4" t="s">
        <v>30</v>
      </c>
      <c r="H611" s="54" t="s">
        <v>108</v>
      </c>
    </row>
    <row r="612" spans="1:8" x14ac:dyDescent="0.25">
      <c r="A612" s="52">
        <f t="shared" si="9"/>
        <v>611</v>
      </c>
      <c r="B612" s="28" t="s">
        <v>1057</v>
      </c>
      <c r="C612" s="13" t="s">
        <v>1060</v>
      </c>
      <c r="D612" s="13" t="s">
        <v>1061</v>
      </c>
      <c r="E612" s="1" t="s">
        <v>2</v>
      </c>
      <c r="F612" s="8" t="s">
        <v>1068</v>
      </c>
      <c r="G612" s="3" t="s">
        <v>30</v>
      </c>
      <c r="H612" s="54" t="s">
        <v>897</v>
      </c>
    </row>
    <row r="613" spans="1:8" x14ac:dyDescent="0.25">
      <c r="A613" s="52">
        <f t="shared" si="9"/>
        <v>612</v>
      </c>
      <c r="B613" s="28" t="s">
        <v>1057</v>
      </c>
      <c r="C613" s="13" t="s">
        <v>1060</v>
      </c>
      <c r="D613" s="13" t="s">
        <v>1061</v>
      </c>
      <c r="E613" s="1" t="s">
        <v>3</v>
      </c>
      <c r="F613" s="8" t="s">
        <v>265</v>
      </c>
      <c r="G613" s="3" t="s">
        <v>30</v>
      </c>
      <c r="H613" s="54" t="s">
        <v>363</v>
      </c>
    </row>
    <row r="614" spans="1:8" x14ac:dyDescent="0.25">
      <c r="A614" s="52">
        <f t="shared" si="9"/>
        <v>613</v>
      </c>
      <c r="B614" s="28" t="s">
        <v>1057</v>
      </c>
      <c r="C614" s="13" t="s">
        <v>1060</v>
      </c>
      <c r="D614" s="13" t="s">
        <v>1061</v>
      </c>
      <c r="E614" s="1" t="s">
        <v>4</v>
      </c>
      <c r="F614" s="8" t="s">
        <v>20</v>
      </c>
      <c r="G614" s="3" t="s">
        <v>30</v>
      </c>
      <c r="H614" s="54" t="s">
        <v>110</v>
      </c>
    </row>
    <row r="615" spans="1:8" x14ac:dyDescent="0.25">
      <c r="A615" s="52">
        <f t="shared" si="9"/>
        <v>614</v>
      </c>
      <c r="B615" s="28" t="s">
        <v>1057</v>
      </c>
      <c r="C615" s="13" t="s">
        <v>1060</v>
      </c>
      <c r="D615" s="13" t="s">
        <v>1061</v>
      </c>
      <c r="E615" s="1" t="s">
        <v>5</v>
      </c>
      <c r="F615" s="8" t="s">
        <v>21</v>
      </c>
      <c r="G615" s="3" t="s">
        <v>30</v>
      </c>
      <c r="H615" s="54" t="s">
        <v>359</v>
      </c>
    </row>
    <row r="616" spans="1:8" x14ac:dyDescent="0.25">
      <c r="A616" s="52">
        <f t="shared" si="9"/>
        <v>615</v>
      </c>
      <c r="B616" s="28" t="s">
        <v>1057</v>
      </c>
      <c r="C616" s="13" t="s">
        <v>1060</v>
      </c>
      <c r="D616" s="13" t="s">
        <v>1061</v>
      </c>
      <c r="E616" s="1" t="s">
        <v>6</v>
      </c>
      <c r="F616" s="8" t="s">
        <v>943</v>
      </c>
      <c r="G616" s="3" t="s">
        <v>30</v>
      </c>
      <c r="H616" s="52" t="s">
        <v>1137</v>
      </c>
    </row>
    <row r="617" spans="1:8" x14ac:dyDescent="0.25">
      <c r="A617" s="52">
        <f t="shared" si="9"/>
        <v>616</v>
      </c>
      <c r="B617" s="28" t="s">
        <v>1057</v>
      </c>
      <c r="C617" s="13" t="s">
        <v>1060</v>
      </c>
      <c r="D617" s="13" t="s">
        <v>1061</v>
      </c>
      <c r="E617" s="1" t="s">
        <v>7</v>
      </c>
      <c r="F617" s="8" t="s">
        <v>23</v>
      </c>
      <c r="G617" s="3" t="s">
        <v>30</v>
      </c>
      <c r="H617" s="54" t="s">
        <v>882</v>
      </c>
    </row>
    <row r="618" spans="1:8" x14ac:dyDescent="0.25">
      <c r="A618" s="52">
        <f t="shared" si="9"/>
        <v>617</v>
      </c>
      <c r="B618" s="28" t="s">
        <v>1057</v>
      </c>
      <c r="C618" s="13" t="s">
        <v>1060</v>
      </c>
      <c r="D618" s="13" t="s">
        <v>1061</v>
      </c>
      <c r="E618" s="1" t="s">
        <v>8</v>
      </c>
      <c r="F618" s="8" t="s">
        <v>24</v>
      </c>
      <c r="G618" s="3" t="s">
        <v>30</v>
      </c>
      <c r="H618" s="54" t="s">
        <v>111</v>
      </c>
    </row>
    <row r="619" spans="1:8" x14ac:dyDescent="0.25">
      <c r="A619" s="52">
        <f t="shared" si="9"/>
        <v>618</v>
      </c>
      <c r="B619" s="28" t="s">
        <v>1057</v>
      </c>
      <c r="C619" s="13" t="s">
        <v>1060</v>
      </c>
      <c r="D619" s="13" t="s">
        <v>1061</v>
      </c>
      <c r="E619" s="1" t="s">
        <v>9</v>
      </c>
      <c r="F619" s="8" t="s">
        <v>944</v>
      </c>
      <c r="G619" s="3" t="s">
        <v>30</v>
      </c>
      <c r="H619" s="52" t="s">
        <v>400</v>
      </c>
    </row>
    <row r="620" spans="1:8" x14ac:dyDescent="0.25">
      <c r="A620" s="52">
        <f t="shared" si="9"/>
        <v>619</v>
      </c>
      <c r="B620" s="28" t="s">
        <v>1057</v>
      </c>
      <c r="C620" s="13" t="s">
        <v>1060</v>
      </c>
      <c r="D620" s="13" t="s">
        <v>1061</v>
      </c>
      <c r="E620" s="1" t="s">
        <v>10</v>
      </c>
      <c r="F620" s="8" t="s">
        <v>1069</v>
      </c>
      <c r="G620" s="3" t="s">
        <v>30</v>
      </c>
      <c r="H620" t="s">
        <v>112</v>
      </c>
    </row>
    <row r="621" spans="1:8" x14ac:dyDescent="0.25">
      <c r="A621" s="52">
        <f t="shared" si="9"/>
        <v>620</v>
      </c>
      <c r="B621" s="28" t="s">
        <v>1057</v>
      </c>
      <c r="C621" s="13" t="s">
        <v>1060</v>
      </c>
      <c r="D621" s="13" t="s">
        <v>1061</v>
      </c>
      <c r="E621" s="1" t="s">
        <v>925</v>
      </c>
      <c r="F621" s="8" t="s">
        <v>926</v>
      </c>
      <c r="G621" s="3" t="s">
        <v>30</v>
      </c>
      <c r="H621" s="54" t="s">
        <v>927</v>
      </c>
    </row>
    <row r="622" spans="1:8" x14ac:dyDescent="0.25">
      <c r="A622" s="52">
        <f t="shared" si="9"/>
        <v>621</v>
      </c>
      <c r="B622" s="28" t="s">
        <v>1057</v>
      </c>
      <c r="C622" s="13" t="s">
        <v>1060</v>
      </c>
      <c r="D622" s="13" t="s">
        <v>1061</v>
      </c>
      <c r="E622" s="1" t="s">
        <v>11</v>
      </c>
      <c r="F622" s="8" t="s">
        <v>1070</v>
      </c>
      <c r="G622" s="3" t="s">
        <v>30</v>
      </c>
      <c r="H622" s="54" t="s">
        <v>361</v>
      </c>
    </row>
    <row r="623" spans="1:8" x14ac:dyDescent="0.25">
      <c r="A623" s="52">
        <f t="shared" si="9"/>
        <v>622</v>
      </c>
      <c r="B623" s="28" t="s">
        <v>1057</v>
      </c>
      <c r="C623" s="13" t="s">
        <v>1060</v>
      </c>
      <c r="D623" s="13" t="s">
        <v>1061</v>
      </c>
      <c r="E623" s="1" t="s">
        <v>928</v>
      </c>
      <c r="F623" s="8" t="s">
        <v>929</v>
      </c>
      <c r="G623" s="3" t="s">
        <v>30</v>
      </c>
      <c r="H623" s="54" t="s">
        <v>1040</v>
      </c>
    </row>
    <row r="624" spans="1:8" x14ac:dyDescent="0.25">
      <c r="A624" s="52">
        <f t="shared" si="9"/>
        <v>623</v>
      </c>
      <c r="B624" s="28" t="s">
        <v>1057</v>
      </c>
      <c r="C624" s="13" t="s">
        <v>1060</v>
      </c>
      <c r="D624" s="13" t="s">
        <v>1061</v>
      </c>
      <c r="E624" s="1" t="s">
        <v>12</v>
      </c>
      <c r="F624" s="8" t="s">
        <v>1071</v>
      </c>
      <c r="G624" s="3" t="s">
        <v>30</v>
      </c>
      <c r="H624" t="s">
        <v>362</v>
      </c>
    </row>
    <row r="625" spans="1:8" x14ac:dyDescent="0.25">
      <c r="A625" s="52">
        <f t="shared" si="9"/>
        <v>624</v>
      </c>
      <c r="B625" s="28" t="s">
        <v>1057</v>
      </c>
      <c r="C625" s="13" t="s">
        <v>1060</v>
      </c>
      <c r="D625" s="13" t="s">
        <v>1061</v>
      </c>
      <c r="E625" s="1" t="s">
        <v>930</v>
      </c>
      <c r="F625" s="8" t="s">
        <v>931</v>
      </c>
      <c r="G625" s="3" t="s">
        <v>30</v>
      </c>
      <c r="H625" s="54" t="s">
        <v>1041</v>
      </c>
    </row>
    <row r="626" spans="1:8" x14ac:dyDescent="0.25">
      <c r="A626" s="52">
        <f t="shared" si="9"/>
        <v>625</v>
      </c>
      <c r="B626" s="28" t="s">
        <v>1057</v>
      </c>
      <c r="C626" s="13" t="s">
        <v>1060</v>
      </c>
      <c r="D626" s="13" t="s">
        <v>1061</v>
      </c>
      <c r="E626" s="1" t="s">
        <v>13</v>
      </c>
      <c r="F626" s="8" t="s">
        <v>945</v>
      </c>
      <c r="G626" s="3" t="s">
        <v>31</v>
      </c>
      <c r="H626" s="54" t="s">
        <v>946</v>
      </c>
    </row>
    <row r="627" spans="1:8" ht="25.5" x14ac:dyDescent="0.25">
      <c r="A627" s="52">
        <f t="shared" si="9"/>
        <v>626</v>
      </c>
      <c r="B627" s="28" t="s">
        <v>1057</v>
      </c>
      <c r="C627" s="13" t="s">
        <v>1060</v>
      </c>
      <c r="D627" s="13" t="s">
        <v>1061</v>
      </c>
      <c r="E627" s="1" t="s">
        <v>14</v>
      </c>
      <c r="F627" s="8" t="s">
        <v>947</v>
      </c>
      <c r="G627" s="3" t="s">
        <v>30</v>
      </c>
      <c r="H627" s="54" t="s">
        <v>948</v>
      </c>
    </row>
    <row r="628" spans="1:8" ht="25.5" x14ac:dyDescent="0.25">
      <c r="A628" s="52">
        <f t="shared" si="9"/>
        <v>627</v>
      </c>
      <c r="B628" s="28" t="s">
        <v>1057</v>
      </c>
      <c r="C628" s="13" t="s">
        <v>1060</v>
      </c>
      <c r="D628" s="13" t="s">
        <v>1061</v>
      </c>
      <c r="E628" s="1" t="s">
        <v>15</v>
      </c>
      <c r="F628" s="8" t="s">
        <v>949</v>
      </c>
      <c r="G628" s="3" t="s">
        <v>30</v>
      </c>
      <c r="H628" s="54" t="s">
        <v>950</v>
      </c>
    </row>
    <row r="629" spans="1:8" x14ac:dyDescent="0.25">
      <c r="A629" s="52">
        <f t="shared" si="9"/>
        <v>628</v>
      </c>
      <c r="B629" s="28" t="s">
        <v>1057</v>
      </c>
      <c r="C629" s="13" t="s">
        <v>1060</v>
      </c>
      <c r="D629" s="13" t="s">
        <v>1061</v>
      </c>
      <c r="E629" s="1"/>
      <c r="F629" s="8" t="s">
        <v>29</v>
      </c>
      <c r="G629" s="3" t="s">
        <v>31</v>
      </c>
      <c r="H629" s="54" t="s">
        <v>132</v>
      </c>
    </row>
    <row r="630" spans="1:8" x14ac:dyDescent="0.25">
      <c r="A630" s="52">
        <f t="shared" si="9"/>
        <v>629</v>
      </c>
      <c r="B630" s="28" t="s">
        <v>1057</v>
      </c>
      <c r="C630" s="13" t="s">
        <v>1060</v>
      </c>
      <c r="D630" s="13" t="s">
        <v>1062</v>
      </c>
      <c r="E630" s="1" t="s">
        <v>32</v>
      </c>
      <c r="F630" s="18" t="s">
        <v>1067</v>
      </c>
      <c r="G630" s="3" t="s">
        <v>30</v>
      </c>
      <c r="H630" s="54" t="s">
        <v>130</v>
      </c>
    </row>
    <row r="631" spans="1:8" x14ac:dyDescent="0.25">
      <c r="A631" s="52">
        <f t="shared" si="9"/>
        <v>630</v>
      </c>
      <c r="B631" s="28" t="s">
        <v>1057</v>
      </c>
      <c r="C631" s="13" t="s">
        <v>1060</v>
      </c>
      <c r="D631" s="13" t="s">
        <v>1062</v>
      </c>
      <c r="E631" s="2" t="s">
        <v>1</v>
      </c>
      <c r="F631" s="19" t="s">
        <v>17</v>
      </c>
      <c r="G631" s="4" t="s">
        <v>30</v>
      </c>
      <c r="H631" s="54" t="s">
        <v>108</v>
      </c>
    </row>
    <row r="632" spans="1:8" x14ac:dyDescent="0.25">
      <c r="A632" s="52">
        <f t="shared" si="9"/>
        <v>631</v>
      </c>
      <c r="B632" s="28" t="s">
        <v>1057</v>
      </c>
      <c r="C632" s="13" t="s">
        <v>1060</v>
      </c>
      <c r="D632" s="13" t="s">
        <v>1062</v>
      </c>
      <c r="E632" s="1" t="s">
        <v>33</v>
      </c>
      <c r="F632" s="8" t="s">
        <v>1072</v>
      </c>
      <c r="G632" s="3" t="s">
        <v>30</v>
      </c>
      <c r="H632" s="54" t="s">
        <v>114</v>
      </c>
    </row>
    <row r="633" spans="1:8" x14ac:dyDescent="0.25">
      <c r="A633" s="52">
        <f t="shared" si="9"/>
        <v>632</v>
      </c>
      <c r="B633" s="28" t="s">
        <v>1057</v>
      </c>
      <c r="C633" s="13" t="s">
        <v>1060</v>
      </c>
      <c r="D633" s="13" t="s">
        <v>1062</v>
      </c>
      <c r="E633" s="1" t="s">
        <v>34</v>
      </c>
      <c r="F633" s="8" t="s">
        <v>1073</v>
      </c>
      <c r="G633" s="3" t="s">
        <v>30</v>
      </c>
      <c r="H633" s="54" t="s">
        <v>128</v>
      </c>
    </row>
    <row r="634" spans="1:8" x14ac:dyDescent="0.25">
      <c r="A634" s="52">
        <f t="shared" si="9"/>
        <v>633</v>
      </c>
      <c r="B634" s="28" t="s">
        <v>1057</v>
      </c>
      <c r="C634" s="13" t="s">
        <v>1060</v>
      </c>
      <c r="D634" s="13" t="s">
        <v>1062</v>
      </c>
      <c r="E634" s="1" t="s">
        <v>35</v>
      </c>
      <c r="F634" s="8" t="s">
        <v>1074</v>
      </c>
      <c r="G634" s="3" t="s">
        <v>30</v>
      </c>
      <c r="H634" s="54" t="s">
        <v>368</v>
      </c>
    </row>
    <row r="635" spans="1:8" x14ac:dyDescent="0.25">
      <c r="A635" s="52">
        <f t="shared" si="9"/>
        <v>634</v>
      </c>
      <c r="B635" s="28" t="s">
        <v>1057</v>
      </c>
      <c r="C635" s="13" t="s">
        <v>1060</v>
      </c>
      <c r="D635" s="13" t="s">
        <v>1062</v>
      </c>
      <c r="E635" s="1" t="s">
        <v>36</v>
      </c>
      <c r="F635" s="8" t="s">
        <v>294</v>
      </c>
      <c r="G635" s="3" t="s">
        <v>30</v>
      </c>
      <c r="H635" s="54" t="s">
        <v>1021</v>
      </c>
    </row>
    <row r="636" spans="1:8" x14ac:dyDescent="0.25">
      <c r="A636" s="52">
        <f t="shared" si="9"/>
        <v>635</v>
      </c>
      <c r="B636" s="28" t="s">
        <v>1057</v>
      </c>
      <c r="C636" s="13" t="s">
        <v>1060</v>
      </c>
      <c r="D636" s="13" t="s">
        <v>1062</v>
      </c>
      <c r="E636" s="1" t="s">
        <v>37</v>
      </c>
      <c r="F636" s="8" t="s">
        <v>951</v>
      </c>
      <c r="G636" s="3" t="s">
        <v>30</v>
      </c>
      <c r="H636" s="52" t="s">
        <v>400</v>
      </c>
    </row>
    <row r="637" spans="1:8" x14ac:dyDescent="0.25">
      <c r="A637" s="52">
        <f t="shared" si="9"/>
        <v>636</v>
      </c>
      <c r="B637" s="28" t="s">
        <v>1057</v>
      </c>
      <c r="C637" s="13" t="s">
        <v>1060</v>
      </c>
      <c r="D637" s="13" t="s">
        <v>1062</v>
      </c>
      <c r="E637" s="1" t="s">
        <v>38</v>
      </c>
      <c r="F637" s="8" t="s">
        <v>1075</v>
      </c>
      <c r="G637" s="3" t="s">
        <v>30</v>
      </c>
      <c r="H637" s="54" t="s">
        <v>116</v>
      </c>
    </row>
    <row r="638" spans="1:8" x14ac:dyDescent="0.25">
      <c r="A638" s="52">
        <f t="shared" si="9"/>
        <v>637</v>
      </c>
      <c r="B638" s="28" t="s">
        <v>1057</v>
      </c>
      <c r="C638" s="13" t="s">
        <v>1060</v>
      </c>
      <c r="D638" s="13" t="s">
        <v>1062</v>
      </c>
      <c r="E638" s="1" t="s">
        <v>40</v>
      </c>
      <c r="F638" s="8" t="s">
        <v>1076</v>
      </c>
      <c r="G638" s="3" t="s">
        <v>30</v>
      </c>
      <c r="H638" s="54" t="s">
        <v>842</v>
      </c>
    </row>
    <row r="639" spans="1:8" x14ac:dyDescent="0.25">
      <c r="A639" s="52">
        <f t="shared" si="9"/>
        <v>638</v>
      </c>
      <c r="B639" s="28" t="s">
        <v>1057</v>
      </c>
      <c r="C639" s="13" t="s">
        <v>1060</v>
      </c>
      <c r="D639" s="13" t="s">
        <v>1062</v>
      </c>
      <c r="E639" s="5" t="s">
        <v>41</v>
      </c>
      <c r="F639" s="20" t="s">
        <v>55</v>
      </c>
      <c r="G639" s="7" t="s">
        <v>30</v>
      </c>
      <c r="H639" s="54" t="s">
        <v>117</v>
      </c>
    </row>
    <row r="640" spans="1:8" x14ac:dyDescent="0.25">
      <c r="A640" s="52">
        <f t="shared" si="9"/>
        <v>639</v>
      </c>
      <c r="B640" s="28" t="s">
        <v>1057</v>
      </c>
      <c r="C640" s="13" t="s">
        <v>1060</v>
      </c>
      <c r="D640" s="13" t="s">
        <v>1062</v>
      </c>
      <c r="E640" s="5" t="s">
        <v>192</v>
      </c>
      <c r="F640" s="20" t="s">
        <v>57</v>
      </c>
      <c r="G640" s="7" t="s">
        <v>30</v>
      </c>
      <c r="H640" s="54" t="s">
        <v>898</v>
      </c>
    </row>
    <row r="641" spans="1:8" x14ac:dyDescent="0.25">
      <c r="A641" s="52">
        <f t="shared" si="9"/>
        <v>640</v>
      </c>
      <c r="B641" s="28" t="s">
        <v>1057</v>
      </c>
      <c r="C641" s="13" t="s">
        <v>1060</v>
      </c>
      <c r="D641" s="13" t="s">
        <v>1062</v>
      </c>
      <c r="E641" s="1" t="s">
        <v>42</v>
      </c>
      <c r="F641" s="8" t="s">
        <v>1077</v>
      </c>
      <c r="G641" s="3" t="s">
        <v>30</v>
      </c>
      <c r="H641" s="54" t="s">
        <v>119</v>
      </c>
    </row>
    <row r="642" spans="1:8" x14ac:dyDescent="0.25">
      <c r="A642" s="52">
        <f t="shared" si="9"/>
        <v>641</v>
      </c>
      <c r="B642" s="28" t="s">
        <v>1057</v>
      </c>
      <c r="C642" s="13" t="s">
        <v>1060</v>
      </c>
      <c r="D642" s="13" t="s">
        <v>1062</v>
      </c>
      <c r="E642" s="1" t="s">
        <v>44</v>
      </c>
      <c r="F642" s="8" t="s">
        <v>59</v>
      </c>
      <c r="G642" s="3" t="s">
        <v>30</v>
      </c>
      <c r="H642" s="54" t="s">
        <v>120</v>
      </c>
    </row>
    <row r="643" spans="1:8" x14ac:dyDescent="0.25">
      <c r="A643" s="52">
        <f t="shared" si="9"/>
        <v>642</v>
      </c>
      <c r="B643" s="28" t="s">
        <v>1057</v>
      </c>
      <c r="C643" s="13" t="s">
        <v>1060</v>
      </c>
      <c r="D643" s="13" t="s">
        <v>1062</v>
      </c>
      <c r="E643" s="1" t="s">
        <v>45</v>
      </c>
      <c r="F643" s="8" t="s">
        <v>301</v>
      </c>
      <c r="G643" s="3" t="s">
        <v>30</v>
      </c>
      <c r="H643" s="54" t="s">
        <v>404</v>
      </c>
    </row>
    <row r="644" spans="1:8" x14ac:dyDescent="0.25">
      <c r="A644" s="52">
        <f t="shared" ref="A644:A707" si="10">+A643+1</f>
        <v>643</v>
      </c>
      <c r="B644" s="28" t="s">
        <v>1057</v>
      </c>
      <c r="C644" s="13" t="s">
        <v>1060</v>
      </c>
      <c r="D644" s="13" t="s">
        <v>1062</v>
      </c>
      <c r="E644" s="1" t="s">
        <v>47</v>
      </c>
      <c r="F644" s="8" t="s">
        <v>62</v>
      </c>
      <c r="G644" s="3" t="s">
        <v>30</v>
      </c>
      <c r="H644" s="54" t="s">
        <v>122</v>
      </c>
    </row>
    <row r="645" spans="1:8" x14ac:dyDescent="0.25">
      <c r="A645" s="52">
        <f t="shared" si="10"/>
        <v>644</v>
      </c>
      <c r="B645" s="28" t="s">
        <v>1057</v>
      </c>
      <c r="C645" s="13" t="s">
        <v>1060</v>
      </c>
      <c r="D645" s="13" t="s">
        <v>1062</v>
      </c>
      <c r="E645" s="6" t="s">
        <v>48</v>
      </c>
      <c r="F645" s="21" t="s">
        <v>934</v>
      </c>
      <c r="G645" s="9" t="s">
        <v>30</v>
      </c>
      <c r="H645" s="54" t="s">
        <v>405</v>
      </c>
    </row>
    <row r="646" spans="1:8" x14ac:dyDescent="0.25">
      <c r="A646" s="52">
        <f t="shared" si="10"/>
        <v>645</v>
      </c>
      <c r="B646" s="28" t="s">
        <v>1057</v>
      </c>
      <c r="C646" s="13" t="s">
        <v>1060</v>
      </c>
      <c r="D646" s="13" t="s">
        <v>1062</v>
      </c>
      <c r="E646" s="1" t="s">
        <v>49</v>
      </c>
      <c r="F646" s="8" t="s">
        <v>61</v>
      </c>
      <c r="G646" s="3" t="s">
        <v>30</v>
      </c>
      <c r="H646" s="54" t="s">
        <v>129</v>
      </c>
    </row>
    <row r="647" spans="1:8" x14ac:dyDescent="0.25">
      <c r="A647" s="52">
        <f t="shared" si="10"/>
        <v>646</v>
      </c>
      <c r="B647" s="28" t="s">
        <v>1057</v>
      </c>
      <c r="C647" s="13" t="s">
        <v>1060</v>
      </c>
      <c r="D647" s="13" t="s">
        <v>1062</v>
      </c>
      <c r="E647" s="1" t="s">
        <v>50</v>
      </c>
      <c r="F647" s="8" t="s">
        <v>214</v>
      </c>
      <c r="G647" s="3" t="s">
        <v>30</v>
      </c>
      <c r="H647" s="54" t="s">
        <v>1046</v>
      </c>
    </row>
    <row r="648" spans="1:8" x14ac:dyDescent="0.25">
      <c r="A648" s="52">
        <f t="shared" si="10"/>
        <v>647</v>
      </c>
      <c r="B648" s="28" t="s">
        <v>1057</v>
      </c>
      <c r="C648" s="13" t="s">
        <v>1060</v>
      </c>
      <c r="D648" s="13" t="s">
        <v>1062</v>
      </c>
      <c r="E648" s="1" t="s">
        <v>221</v>
      </c>
      <c r="F648" s="8" t="s">
        <v>935</v>
      </c>
      <c r="G648" s="3" t="s">
        <v>30</v>
      </c>
      <c r="H648" s="54" t="s">
        <v>406</v>
      </c>
    </row>
    <row r="649" spans="1:8" x14ac:dyDescent="0.25">
      <c r="A649" s="52">
        <f t="shared" si="10"/>
        <v>648</v>
      </c>
      <c r="B649" s="28" t="s">
        <v>1057</v>
      </c>
      <c r="C649" s="13" t="s">
        <v>1060</v>
      </c>
      <c r="D649" s="13" t="s">
        <v>1062</v>
      </c>
      <c r="E649" s="1" t="s">
        <v>51</v>
      </c>
      <c r="F649" s="8" t="s">
        <v>952</v>
      </c>
      <c r="G649" s="3" t="s">
        <v>30</v>
      </c>
      <c r="H649" s="52" t="s">
        <v>1137</v>
      </c>
    </row>
    <row r="650" spans="1:8" x14ac:dyDescent="0.25">
      <c r="A650" s="52">
        <f t="shared" si="10"/>
        <v>649</v>
      </c>
      <c r="B650" s="28" t="s">
        <v>1057</v>
      </c>
      <c r="C650" s="13" t="s">
        <v>1060</v>
      </c>
      <c r="D650" s="13" t="s">
        <v>1062</v>
      </c>
      <c r="E650" s="1" t="s">
        <v>224</v>
      </c>
      <c r="F650" s="8" t="s">
        <v>64</v>
      </c>
      <c r="G650" s="3" t="s">
        <v>30</v>
      </c>
      <c r="H650" s="54" t="s">
        <v>123</v>
      </c>
    </row>
    <row r="651" spans="1:8" x14ac:dyDescent="0.25">
      <c r="A651" s="52">
        <f t="shared" si="10"/>
        <v>650</v>
      </c>
      <c r="B651" s="28" t="s">
        <v>1057</v>
      </c>
      <c r="C651" s="13" t="s">
        <v>1060</v>
      </c>
      <c r="D651" s="13" t="s">
        <v>1062</v>
      </c>
      <c r="E651" s="6" t="s">
        <v>228</v>
      </c>
      <c r="F651" s="21" t="s">
        <v>958</v>
      </c>
      <c r="G651" s="9" t="s">
        <v>30</v>
      </c>
      <c r="H651" s="54" t="s">
        <v>391</v>
      </c>
    </row>
    <row r="652" spans="1:8" x14ac:dyDescent="0.25">
      <c r="A652" s="52">
        <f t="shared" si="10"/>
        <v>651</v>
      </c>
      <c r="B652" s="28" t="s">
        <v>1057</v>
      </c>
      <c r="C652" s="13" t="s">
        <v>1060</v>
      </c>
      <c r="D652" s="13" t="s">
        <v>1062</v>
      </c>
      <c r="E652" s="6" t="s">
        <v>1127</v>
      </c>
      <c r="F652" s="21" t="s">
        <v>1128</v>
      </c>
      <c r="G652" s="9" t="s">
        <v>30</v>
      </c>
      <c r="H652" t="s">
        <v>115</v>
      </c>
    </row>
    <row r="653" spans="1:8" x14ac:dyDescent="0.25">
      <c r="A653" s="52">
        <f t="shared" si="10"/>
        <v>652</v>
      </c>
      <c r="B653" s="28" t="s">
        <v>1057</v>
      </c>
      <c r="C653" s="13" t="s">
        <v>1060</v>
      </c>
      <c r="D653" s="13" t="s">
        <v>1062</v>
      </c>
      <c r="E653" s="6" t="s">
        <v>231</v>
      </c>
      <c r="F653" s="21" t="s">
        <v>67</v>
      </c>
      <c r="G653" s="9" t="s">
        <v>30</v>
      </c>
      <c r="H653" s="54" t="s">
        <v>125</v>
      </c>
    </row>
    <row r="654" spans="1:8" x14ac:dyDescent="0.25">
      <c r="A654" s="52">
        <f t="shared" si="10"/>
        <v>653</v>
      </c>
      <c r="B654" s="28" t="s">
        <v>1057</v>
      </c>
      <c r="C654" s="13" t="s">
        <v>1060</v>
      </c>
      <c r="D654" s="13" t="s">
        <v>1062</v>
      </c>
      <c r="E654" s="6" t="s">
        <v>938</v>
      </c>
      <c r="F654" s="21" t="s">
        <v>957</v>
      </c>
      <c r="G654" s="9" t="s">
        <v>30</v>
      </c>
      <c r="H654" s="54" t="s">
        <v>392</v>
      </c>
    </row>
    <row r="655" spans="1:8" x14ac:dyDescent="0.25">
      <c r="A655" s="52">
        <f t="shared" si="10"/>
        <v>654</v>
      </c>
      <c r="B655" s="28" t="s">
        <v>1057</v>
      </c>
      <c r="C655" s="13" t="s">
        <v>1060</v>
      </c>
      <c r="D655" s="13" t="s">
        <v>1062</v>
      </c>
      <c r="E655" s="6" t="s">
        <v>940</v>
      </c>
      <c r="F655" s="21" t="s">
        <v>937</v>
      </c>
      <c r="G655" s="9" t="s">
        <v>30</v>
      </c>
      <c r="H655" s="54" t="s">
        <v>959</v>
      </c>
    </row>
    <row r="656" spans="1:8" x14ac:dyDescent="0.25">
      <c r="A656" s="52">
        <f t="shared" si="10"/>
        <v>655</v>
      </c>
      <c r="B656" s="28" t="s">
        <v>1057</v>
      </c>
      <c r="C656" s="13" t="s">
        <v>1060</v>
      </c>
      <c r="D656" s="13" t="s">
        <v>1062</v>
      </c>
      <c r="E656" s="6" t="s">
        <v>953</v>
      </c>
      <c r="F656" s="21" t="s">
        <v>225</v>
      </c>
      <c r="G656" s="9" t="s">
        <v>30</v>
      </c>
      <c r="H656" s="54" t="s">
        <v>1120</v>
      </c>
    </row>
    <row r="657" spans="1:8" x14ac:dyDescent="0.25">
      <c r="A657" s="52">
        <f t="shared" si="10"/>
        <v>656</v>
      </c>
      <c r="B657" s="28" t="s">
        <v>1057</v>
      </c>
      <c r="C657" s="13" t="s">
        <v>1060</v>
      </c>
      <c r="D657" s="13" t="s">
        <v>1062</v>
      </c>
      <c r="E657" s="6" t="s">
        <v>954</v>
      </c>
      <c r="F657" s="21" t="s">
        <v>939</v>
      </c>
      <c r="G657" s="9" t="s">
        <v>30</v>
      </c>
      <c r="H657" s="52" t="s">
        <v>1047</v>
      </c>
    </row>
    <row r="658" spans="1:8" x14ac:dyDescent="0.25">
      <c r="A658" s="52">
        <f t="shared" si="10"/>
        <v>657</v>
      </c>
      <c r="B658" s="28" t="s">
        <v>1057</v>
      </c>
      <c r="C658" s="13" t="s">
        <v>1060</v>
      </c>
      <c r="D658" s="13" t="s">
        <v>1062</v>
      </c>
      <c r="E658" s="1"/>
      <c r="F658" s="19" t="s">
        <v>29</v>
      </c>
      <c r="G658" s="2" t="s">
        <v>31</v>
      </c>
      <c r="H658" s="54" t="s">
        <v>132</v>
      </c>
    </row>
    <row r="659" spans="1:8" x14ac:dyDescent="0.25">
      <c r="A659" s="52">
        <f t="shared" si="10"/>
        <v>658</v>
      </c>
      <c r="B659" s="28" t="s">
        <v>1057</v>
      </c>
      <c r="C659" s="13" t="s">
        <v>1060</v>
      </c>
      <c r="D659" s="1" t="s">
        <v>1063</v>
      </c>
      <c r="E659" s="1" t="s">
        <v>0</v>
      </c>
      <c r="F659" s="18" t="s">
        <v>1067</v>
      </c>
      <c r="G659" s="3" t="s">
        <v>30</v>
      </c>
      <c r="H659" s="54" t="s">
        <v>130</v>
      </c>
    </row>
    <row r="660" spans="1:8" x14ac:dyDescent="0.25">
      <c r="A660" s="52">
        <f t="shared" si="10"/>
        <v>659</v>
      </c>
      <c r="B660" s="28" t="s">
        <v>1057</v>
      </c>
      <c r="C660" s="13" t="s">
        <v>1060</v>
      </c>
      <c r="D660" s="1" t="s">
        <v>1063</v>
      </c>
      <c r="E660" s="1" t="s">
        <v>1</v>
      </c>
      <c r="F660" s="8" t="s">
        <v>17</v>
      </c>
      <c r="G660" s="3" t="s">
        <v>30</v>
      </c>
      <c r="H660" s="54" t="s">
        <v>108</v>
      </c>
    </row>
    <row r="661" spans="1:8" x14ac:dyDescent="0.25">
      <c r="A661" s="52">
        <f t="shared" si="10"/>
        <v>660</v>
      </c>
      <c r="B661" s="28" t="s">
        <v>1057</v>
      </c>
      <c r="C661" s="13" t="s">
        <v>1060</v>
      </c>
      <c r="D661" s="1" t="s">
        <v>1063</v>
      </c>
      <c r="E661" s="1" t="s">
        <v>33</v>
      </c>
      <c r="F661" s="8" t="s">
        <v>1072</v>
      </c>
      <c r="G661" s="3" t="s">
        <v>30</v>
      </c>
      <c r="H661" s="54" t="s">
        <v>114</v>
      </c>
    </row>
    <row r="662" spans="1:8" x14ac:dyDescent="0.25">
      <c r="A662" s="52">
        <f t="shared" si="10"/>
        <v>661</v>
      </c>
      <c r="B662" s="28" t="s">
        <v>1057</v>
      </c>
      <c r="C662" s="13" t="s">
        <v>1060</v>
      </c>
      <c r="D662" s="1" t="s">
        <v>1063</v>
      </c>
      <c r="E662" s="1" t="s">
        <v>70</v>
      </c>
      <c r="F662" s="8" t="s">
        <v>82</v>
      </c>
      <c r="G662" s="3" t="s">
        <v>30</v>
      </c>
      <c r="H662" s="52" t="s">
        <v>393</v>
      </c>
    </row>
    <row r="663" spans="1:8" x14ac:dyDescent="0.25">
      <c r="A663" s="52">
        <f t="shared" si="10"/>
        <v>662</v>
      </c>
      <c r="B663" s="28" t="s">
        <v>1057</v>
      </c>
      <c r="C663" s="13" t="s">
        <v>1060</v>
      </c>
      <c r="D663" s="1" t="s">
        <v>1063</v>
      </c>
      <c r="E663" s="1" t="s">
        <v>72</v>
      </c>
      <c r="F663" s="8" t="s">
        <v>83</v>
      </c>
      <c r="G663" s="3" t="s">
        <v>30</v>
      </c>
      <c r="H663" s="54" t="s">
        <v>395</v>
      </c>
    </row>
    <row r="664" spans="1:8" ht="25.5" x14ac:dyDescent="0.25">
      <c r="A664" s="52">
        <f t="shared" si="10"/>
        <v>663</v>
      </c>
      <c r="B664" s="28" t="s">
        <v>1057</v>
      </c>
      <c r="C664" s="13" t="s">
        <v>1060</v>
      </c>
      <c r="D664" s="1" t="s">
        <v>1063</v>
      </c>
      <c r="E664" s="1" t="s">
        <v>74</v>
      </c>
      <c r="F664" s="8" t="s">
        <v>1078</v>
      </c>
      <c r="G664" s="3" t="s">
        <v>30</v>
      </c>
      <c r="H664" s="54" t="s">
        <v>131</v>
      </c>
    </row>
    <row r="665" spans="1:8" ht="25.5" x14ac:dyDescent="0.25">
      <c r="A665" s="52">
        <f t="shared" si="10"/>
        <v>664</v>
      </c>
      <c r="B665" s="28" t="s">
        <v>1057</v>
      </c>
      <c r="C665" s="13" t="s">
        <v>1060</v>
      </c>
      <c r="D665" s="1" t="s">
        <v>1063</v>
      </c>
      <c r="E665" s="1" t="s">
        <v>237</v>
      </c>
      <c r="F665" s="8" t="s">
        <v>1079</v>
      </c>
      <c r="G665" s="3" t="s">
        <v>30</v>
      </c>
      <c r="H665" s="54" t="s">
        <v>126</v>
      </c>
    </row>
    <row r="666" spans="1:8" x14ac:dyDescent="0.25">
      <c r="A666" s="52">
        <f t="shared" si="10"/>
        <v>665</v>
      </c>
      <c r="B666" s="28" t="s">
        <v>1057</v>
      </c>
      <c r="C666" s="13" t="s">
        <v>1060</v>
      </c>
      <c r="D666" s="1" t="s">
        <v>1063</v>
      </c>
      <c r="E666" s="10" t="s">
        <v>76</v>
      </c>
      <c r="F666" s="8" t="s">
        <v>79</v>
      </c>
      <c r="G666" s="3" t="s">
        <v>30</v>
      </c>
      <c r="H666" s="54" t="s">
        <v>913</v>
      </c>
    </row>
    <row r="667" spans="1:8" x14ac:dyDescent="0.25">
      <c r="A667" s="52">
        <f t="shared" si="10"/>
        <v>666</v>
      </c>
      <c r="B667" s="28" t="s">
        <v>1057</v>
      </c>
      <c r="C667" s="13" t="s">
        <v>1060</v>
      </c>
      <c r="D667" s="1" t="s">
        <v>1063</v>
      </c>
      <c r="E667" s="1" t="s">
        <v>77</v>
      </c>
      <c r="F667" s="8" t="s">
        <v>941</v>
      </c>
      <c r="G667" s="3" t="s">
        <v>30</v>
      </c>
      <c r="H667" s="52" t="s">
        <v>1130</v>
      </c>
    </row>
    <row r="668" spans="1:8" x14ac:dyDescent="0.25">
      <c r="A668" s="52">
        <f t="shared" si="10"/>
        <v>667</v>
      </c>
      <c r="B668" s="28" t="s">
        <v>1057</v>
      </c>
      <c r="C668" s="13" t="s">
        <v>1060</v>
      </c>
      <c r="D668" s="1" t="s">
        <v>1063</v>
      </c>
      <c r="E668" s="1" t="s">
        <v>78</v>
      </c>
      <c r="F668" s="8" t="s">
        <v>942</v>
      </c>
      <c r="G668" s="3" t="s">
        <v>30</v>
      </c>
      <c r="H668" s="52" t="s">
        <v>1126</v>
      </c>
    </row>
    <row r="669" spans="1:8" x14ac:dyDescent="0.25">
      <c r="A669" s="52">
        <f t="shared" si="10"/>
        <v>668</v>
      </c>
      <c r="B669" s="28" t="s">
        <v>1057</v>
      </c>
      <c r="C669" s="13" t="s">
        <v>1060</v>
      </c>
      <c r="D669" s="1" t="s">
        <v>1115</v>
      </c>
      <c r="E669" s="2" t="s">
        <v>259</v>
      </c>
      <c r="F669" s="19" t="s">
        <v>199</v>
      </c>
      <c r="G669" s="2" t="s">
        <v>30</v>
      </c>
      <c r="H669" s="54" t="s">
        <v>130</v>
      </c>
    </row>
    <row r="670" spans="1:8" x14ac:dyDescent="0.25">
      <c r="A670" s="52">
        <f t="shared" si="10"/>
        <v>669</v>
      </c>
      <c r="B670" s="28" t="s">
        <v>1057</v>
      </c>
      <c r="C670" s="13" t="s">
        <v>1060</v>
      </c>
      <c r="D670" s="1" t="s">
        <v>1115</v>
      </c>
      <c r="E670" s="13" t="s">
        <v>33</v>
      </c>
      <c r="F670" s="18" t="s">
        <v>69</v>
      </c>
      <c r="G670" s="2" t="s">
        <v>30</v>
      </c>
      <c r="H670" s="54" t="s">
        <v>114</v>
      </c>
    </row>
    <row r="671" spans="1:8" x14ac:dyDescent="0.25">
      <c r="A671" s="52">
        <f t="shared" si="10"/>
        <v>670</v>
      </c>
      <c r="B671" s="28" t="s">
        <v>1057</v>
      </c>
      <c r="C671" s="13" t="s">
        <v>1060</v>
      </c>
      <c r="D671" s="1" t="s">
        <v>1115</v>
      </c>
      <c r="E671" s="13" t="s">
        <v>197</v>
      </c>
      <c r="F671" s="18" t="s">
        <v>182</v>
      </c>
      <c r="G671" s="2" t="s">
        <v>30</v>
      </c>
      <c r="H671" s="54" t="s">
        <v>1123</v>
      </c>
    </row>
    <row r="672" spans="1:8" x14ac:dyDescent="0.25">
      <c r="A672" s="52">
        <f t="shared" si="10"/>
        <v>671</v>
      </c>
      <c r="B672" s="28" t="s">
        <v>1057</v>
      </c>
      <c r="C672" s="13" t="s">
        <v>1060</v>
      </c>
      <c r="D672" s="1" t="s">
        <v>1064</v>
      </c>
      <c r="E672" s="1" t="s">
        <v>32</v>
      </c>
      <c r="F672" s="18" t="s">
        <v>1067</v>
      </c>
      <c r="G672" s="3" t="s">
        <v>30</v>
      </c>
      <c r="H672" s="54" t="s">
        <v>108</v>
      </c>
    </row>
    <row r="673" spans="1:8" x14ac:dyDescent="0.25">
      <c r="A673" s="52">
        <f t="shared" si="10"/>
        <v>672</v>
      </c>
      <c r="B673" s="28" t="s">
        <v>1057</v>
      </c>
      <c r="C673" s="13" t="s">
        <v>1060</v>
      </c>
      <c r="D673" s="1" t="s">
        <v>1064</v>
      </c>
      <c r="E673" s="1" t="s">
        <v>33</v>
      </c>
      <c r="F673" s="8" t="s">
        <v>69</v>
      </c>
      <c r="G673" s="3" t="s">
        <v>30</v>
      </c>
      <c r="H673" s="54" t="s">
        <v>114</v>
      </c>
    </row>
    <row r="674" spans="1:8" x14ac:dyDescent="0.25">
      <c r="A674" s="52">
        <f t="shared" si="10"/>
        <v>673</v>
      </c>
      <c r="B674" s="28" t="s">
        <v>1057</v>
      </c>
      <c r="C674" s="13" t="s">
        <v>1060</v>
      </c>
      <c r="D674" s="1" t="s">
        <v>1064</v>
      </c>
      <c r="E674" s="1" t="s">
        <v>85</v>
      </c>
      <c r="F674" s="8" t="s">
        <v>88</v>
      </c>
      <c r="G674" s="3" t="s">
        <v>30</v>
      </c>
    </row>
    <row r="675" spans="1:8" x14ac:dyDescent="0.25">
      <c r="A675" s="52">
        <f t="shared" si="10"/>
        <v>674</v>
      </c>
      <c r="B675" s="28" t="s">
        <v>1057</v>
      </c>
      <c r="C675" s="13" t="s">
        <v>1060</v>
      </c>
      <c r="D675" s="1" t="s">
        <v>1064</v>
      </c>
      <c r="E675" s="1" t="s">
        <v>86</v>
      </c>
      <c r="F675" s="8" t="s">
        <v>89</v>
      </c>
      <c r="G675" s="3" t="s">
        <v>30</v>
      </c>
    </row>
    <row r="676" spans="1:8" x14ac:dyDescent="0.25">
      <c r="A676" s="52">
        <f t="shared" si="10"/>
        <v>675</v>
      </c>
      <c r="B676" s="28" t="s">
        <v>1057</v>
      </c>
      <c r="C676" s="13" t="s">
        <v>1060</v>
      </c>
      <c r="D676" s="1" t="s">
        <v>1064</v>
      </c>
      <c r="E676" s="1" t="s">
        <v>87</v>
      </c>
      <c r="F676" s="8" t="s">
        <v>90</v>
      </c>
      <c r="G676" s="3" t="s">
        <v>30</v>
      </c>
    </row>
    <row r="677" spans="1:8" x14ac:dyDescent="0.25">
      <c r="A677" s="52">
        <f t="shared" si="10"/>
        <v>676</v>
      </c>
      <c r="B677" s="28" t="s">
        <v>1057</v>
      </c>
      <c r="C677" s="13" t="s">
        <v>1060</v>
      </c>
      <c r="D677" s="1" t="s">
        <v>1065</v>
      </c>
      <c r="E677" s="1" t="s">
        <v>0</v>
      </c>
      <c r="F677" s="18" t="s">
        <v>1067</v>
      </c>
      <c r="G677" s="2" t="s">
        <v>30</v>
      </c>
      <c r="H677" s="54" t="s">
        <v>130</v>
      </c>
    </row>
    <row r="678" spans="1:8" x14ac:dyDescent="0.25">
      <c r="A678" s="52">
        <f t="shared" si="10"/>
        <v>677</v>
      </c>
      <c r="B678" s="28" t="s">
        <v>1057</v>
      </c>
      <c r="C678" s="13" t="s">
        <v>1060</v>
      </c>
      <c r="D678" s="1" t="s">
        <v>1065</v>
      </c>
      <c r="E678" s="1" t="s">
        <v>1</v>
      </c>
      <c r="F678" s="8" t="s">
        <v>17</v>
      </c>
      <c r="G678" s="2" t="s">
        <v>30</v>
      </c>
      <c r="H678" s="54" t="s">
        <v>108</v>
      </c>
    </row>
    <row r="679" spans="1:8" x14ac:dyDescent="0.25">
      <c r="A679" s="52">
        <f t="shared" si="10"/>
        <v>678</v>
      </c>
      <c r="B679" s="28" t="s">
        <v>1057</v>
      </c>
      <c r="C679" s="13" t="s">
        <v>1060</v>
      </c>
      <c r="D679" s="1" t="s">
        <v>1065</v>
      </c>
      <c r="E679" s="1" t="s">
        <v>33</v>
      </c>
      <c r="F679" s="8" t="s">
        <v>1072</v>
      </c>
      <c r="G679" s="2" t="s">
        <v>30</v>
      </c>
      <c r="H679" s="54" t="s">
        <v>114</v>
      </c>
    </row>
    <row r="680" spans="1:8" x14ac:dyDescent="0.25">
      <c r="A680" s="52">
        <f t="shared" si="10"/>
        <v>679</v>
      </c>
      <c r="B680" s="28" t="s">
        <v>1057</v>
      </c>
      <c r="C680" s="13" t="s">
        <v>1060</v>
      </c>
      <c r="D680" s="1" t="s">
        <v>1065</v>
      </c>
      <c r="E680" s="1" t="s">
        <v>0</v>
      </c>
      <c r="F680" s="8" t="s">
        <v>1038</v>
      </c>
      <c r="G680" s="2" t="s">
        <v>30</v>
      </c>
      <c r="H680" t="s">
        <v>1332</v>
      </c>
    </row>
    <row r="681" spans="1:8" x14ac:dyDescent="0.25">
      <c r="A681" s="52">
        <f t="shared" si="10"/>
        <v>680</v>
      </c>
      <c r="B681" s="28" t="s">
        <v>1057</v>
      </c>
      <c r="C681" s="13" t="s">
        <v>1060</v>
      </c>
      <c r="D681" s="1" t="s">
        <v>1065</v>
      </c>
      <c r="E681" s="1" t="s">
        <v>33</v>
      </c>
      <c r="F681" s="8" t="s">
        <v>1024</v>
      </c>
      <c r="G681" s="2" t="s">
        <v>30</v>
      </c>
      <c r="H681" t="s">
        <v>1329</v>
      </c>
    </row>
    <row r="682" spans="1:8" x14ac:dyDescent="0.25">
      <c r="A682" s="52">
        <f t="shared" si="10"/>
        <v>681</v>
      </c>
      <c r="B682" s="28" t="s">
        <v>1057</v>
      </c>
      <c r="C682" s="13" t="s">
        <v>1060</v>
      </c>
      <c r="D682" s="1" t="s">
        <v>1065</v>
      </c>
      <c r="E682" s="1" t="s">
        <v>40</v>
      </c>
      <c r="F682" s="8" t="s">
        <v>1026</v>
      </c>
      <c r="G682" s="2" t="s">
        <v>30</v>
      </c>
    </row>
    <row r="683" spans="1:8" ht="14.45" customHeight="1" x14ac:dyDescent="0.25">
      <c r="A683" s="52">
        <f t="shared" si="10"/>
        <v>682</v>
      </c>
      <c r="B683" s="28" t="s">
        <v>1057</v>
      </c>
      <c r="C683" s="13" t="s">
        <v>1060</v>
      </c>
      <c r="D683" s="1" t="s">
        <v>1065</v>
      </c>
      <c r="E683" s="1" t="s">
        <v>42</v>
      </c>
      <c r="F683" s="19" t="s">
        <v>1036</v>
      </c>
      <c r="G683" s="2" t="s">
        <v>30</v>
      </c>
      <c r="H683" t="s">
        <v>1330</v>
      </c>
    </row>
    <row r="684" spans="1:8" ht="14.45" customHeight="1" x14ac:dyDescent="0.25">
      <c r="A684" s="52">
        <f t="shared" si="10"/>
        <v>683</v>
      </c>
      <c r="B684" s="28" t="s">
        <v>1057</v>
      </c>
      <c r="C684" s="13" t="s">
        <v>1060</v>
      </c>
      <c r="D684" s="1" t="s">
        <v>1065</v>
      </c>
      <c r="E684" s="13" t="s">
        <v>49</v>
      </c>
      <c r="F684" s="8" t="s">
        <v>61</v>
      </c>
      <c r="G684" s="2" t="s">
        <v>30</v>
      </c>
      <c r="H684" t="s">
        <v>1331</v>
      </c>
    </row>
    <row r="685" spans="1:8" x14ac:dyDescent="0.25">
      <c r="A685" s="52">
        <f t="shared" si="10"/>
        <v>684</v>
      </c>
      <c r="B685" s="28" t="s">
        <v>1057</v>
      </c>
      <c r="C685" s="13" t="s">
        <v>1060</v>
      </c>
      <c r="D685" s="1" t="s">
        <v>1065</v>
      </c>
      <c r="E685" s="13" t="s">
        <v>1028</v>
      </c>
      <c r="F685" s="18" t="s">
        <v>1030</v>
      </c>
      <c r="G685" s="3" t="s">
        <v>30</v>
      </c>
      <c r="H685" s="54" t="s">
        <v>1318</v>
      </c>
    </row>
    <row r="686" spans="1:8" x14ac:dyDescent="0.25">
      <c r="A686" s="52">
        <f t="shared" si="10"/>
        <v>685</v>
      </c>
      <c r="B686" s="28" t="s">
        <v>1057</v>
      </c>
      <c r="C686" s="13" t="s">
        <v>1060</v>
      </c>
      <c r="D686" s="1" t="s">
        <v>1065</v>
      </c>
      <c r="E686" s="13" t="s">
        <v>1029</v>
      </c>
      <c r="F686" s="18" t="s">
        <v>1031</v>
      </c>
      <c r="G686" s="3" t="s">
        <v>30</v>
      </c>
    </row>
    <row r="687" spans="1:8" x14ac:dyDescent="0.25">
      <c r="A687" s="52">
        <f t="shared" si="10"/>
        <v>686</v>
      </c>
      <c r="B687" s="28" t="s">
        <v>1057</v>
      </c>
      <c r="C687" s="13" t="s">
        <v>1060</v>
      </c>
      <c r="D687" s="1" t="s">
        <v>1066</v>
      </c>
      <c r="E687" s="1" t="s">
        <v>0</v>
      </c>
      <c r="F687" s="18" t="s">
        <v>1067</v>
      </c>
      <c r="G687" s="3" t="s">
        <v>30</v>
      </c>
    </row>
    <row r="688" spans="1:8" x14ac:dyDescent="0.25">
      <c r="A688" s="52">
        <f t="shared" si="10"/>
        <v>687</v>
      </c>
      <c r="B688" s="28" t="s">
        <v>1057</v>
      </c>
      <c r="C688" s="13" t="s">
        <v>1060</v>
      </c>
      <c r="D688" s="1" t="s">
        <v>1066</v>
      </c>
      <c r="E688" s="12" t="s">
        <v>92</v>
      </c>
      <c r="F688" s="8" t="s">
        <v>1072</v>
      </c>
      <c r="G688" s="3" t="s">
        <v>30</v>
      </c>
    </row>
    <row r="689" spans="1:8" x14ac:dyDescent="0.25">
      <c r="A689" s="52">
        <f t="shared" si="10"/>
        <v>688</v>
      </c>
      <c r="B689" s="28" t="s">
        <v>1057</v>
      </c>
      <c r="C689" s="13" t="s">
        <v>1060</v>
      </c>
      <c r="D689" s="1" t="s">
        <v>1066</v>
      </c>
      <c r="E689" s="12" t="s">
        <v>93</v>
      </c>
      <c r="F689" s="8" t="s">
        <v>99</v>
      </c>
      <c r="G689" s="3" t="s">
        <v>30</v>
      </c>
    </row>
    <row r="690" spans="1:8" x14ac:dyDescent="0.25">
      <c r="A690" s="52">
        <f t="shared" si="10"/>
        <v>689</v>
      </c>
      <c r="B690" s="28" t="s">
        <v>1057</v>
      </c>
      <c r="C690" s="13" t="s">
        <v>1060</v>
      </c>
      <c r="D690" s="1" t="s">
        <v>1066</v>
      </c>
      <c r="E690" s="12" t="s">
        <v>94</v>
      </c>
      <c r="F690" s="8" t="s">
        <v>100</v>
      </c>
      <c r="G690" s="3" t="s">
        <v>30</v>
      </c>
    </row>
    <row r="691" spans="1:8" x14ac:dyDescent="0.25">
      <c r="A691" s="52">
        <f t="shared" si="10"/>
        <v>690</v>
      </c>
      <c r="B691" s="28" t="s">
        <v>1057</v>
      </c>
      <c r="C691" s="13" t="s">
        <v>1060</v>
      </c>
      <c r="D691" s="1" t="s">
        <v>1066</v>
      </c>
      <c r="E691" s="12" t="s">
        <v>95</v>
      </c>
      <c r="F691" s="8" t="s">
        <v>89</v>
      </c>
      <c r="G691" s="3" t="s">
        <v>30</v>
      </c>
    </row>
    <row r="692" spans="1:8" x14ac:dyDescent="0.25">
      <c r="A692" s="52">
        <f t="shared" si="10"/>
        <v>691</v>
      </c>
      <c r="B692" s="28" t="s">
        <v>1057</v>
      </c>
      <c r="C692" s="13" t="s">
        <v>1060</v>
      </c>
      <c r="D692" s="1" t="s">
        <v>1066</v>
      </c>
      <c r="E692" s="12" t="s">
        <v>96</v>
      </c>
      <c r="F692" s="8" t="s">
        <v>101</v>
      </c>
      <c r="G692" s="3" t="s">
        <v>30</v>
      </c>
    </row>
    <row r="693" spans="1:8" x14ac:dyDescent="0.25">
      <c r="A693" s="52">
        <f t="shared" si="10"/>
        <v>692</v>
      </c>
      <c r="B693" s="28" t="s">
        <v>1057</v>
      </c>
      <c r="C693" s="13" t="s">
        <v>1060</v>
      </c>
      <c r="D693" s="1" t="s">
        <v>1066</v>
      </c>
      <c r="E693" s="12" t="s">
        <v>97</v>
      </c>
      <c r="F693" s="8" t="s">
        <v>102</v>
      </c>
      <c r="G693" s="3" t="s">
        <v>30</v>
      </c>
    </row>
    <row r="694" spans="1:8" x14ac:dyDescent="0.25">
      <c r="A694" s="52">
        <f t="shared" si="10"/>
        <v>693</v>
      </c>
      <c r="B694" s="28" t="s">
        <v>1057</v>
      </c>
      <c r="C694" s="13" t="s">
        <v>1060</v>
      </c>
      <c r="D694" s="1" t="s">
        <v>1066</v>
      </c>
      <c r="E694" s="12" t="s">
        <v>98</v>
      </c>
      <c r="F694" s="8" t="s">
        <v>103</v>
      </c>
      <c r="G694" s="3" t="s">
        <v>30</v>
      </c>
    </row>
    <row r="695" spans="1:8" x14ac:dyDescent="0.25">
      <c r="A695" s="52">
        <f t="shared" si="10"/>
        <v>694</v>
      </c>
      <c r="B695" s="28" t="s">
        <v>1080</v>
      </c>
      <c r="C695" s="13" t="s">
        <v>1083</v>
      </c>
      <c r="D695" s="13" t="s">
        <v>1084</v>
      </c>
      <c r="E695" s="13" t="s">
        <v>0</v>
      </c>
      <c r="F695" s="18" t="s">
        <v>1067</v>
      </c>
      <c r="G695" s="14" t="s">
        <v>30</v>
      </c>
      <c r="H695" s="54" t="s">
        <v>130</v>
      </c>
    </row>
    <row r="696" spans="1:8" x14ac:dyDescent="0.25">
      <c r="A696" s="52">
        <f t="shared" si="10"/>
        <v>695</v>
      </c>
      <c r="B696" s="28" t="s">
        <v>1080</v>
      </c>
      <c r="C696" s="13" t="s">
        <v>1083</v>
      </c>
      <c r="D696" s="13" t="s">
        <v>1084</v>
      </c>
      <c r="E696" s="2" t="s">
        <v>1</v>
      </c>
      <c r="F696" s="19" t="s">
        <v>17</v>
      </c>
      <c r="G696" s="4" t="s">
        <v>30</v>
      </c>
      <c r="H696" s="54" t="s">
        <v>108</v>
      </c>
    </row>
    <row r="697" spans="1:8" x14ac:dyDescent="0.25">
      <c r="A697" s="52">
        <f t="shared" si="10"/>
        <v>696</v>
      </c>
      <c r="B697" s="28" t="s">
        <v>1080</v>
      </c>
      <c r="C697" s="13" t="s">
        <v>1083</v>
      </c>
      <c r="D697" s="13" t="s">
        <v>1084</v>
      </c>
      <c r="E697" s="1" t="s">
        <v>2</v>
      </c>
      <c r="F697" s="8" t="s">
        <v>1068</v>
      </c>
      <c r="G697" s="3" t="s">
        <v>30</v>
      </c>
      <c r="H697" s="54" t="s">
        <v>897</v>
      </c>
    </row>
    <row r="698" spans="1:8" x14ac:dyDescent="0.25">
      <c r="A698" s="52">
        <f t="shared" si="10"/>
        <v>697</v>
      </c>
      <c r="B698" s="28" t="s">
        <v>1080</v>
      </c>
      <c r="C698" s="13" t="s">
        <v>1083</v>
      </c>
      <c r="D698" s="13" t="s">
        <v>1084</v>
      </c>
      <c r="E698" s="1" t="s">
        <v>3</v>
      </c>
      <c r="F698" s="8" t="s">
        <v>265</v>
      </c>
      <c r="G698" s="3" t="s">
        <v>30</v>
      </c>
      <c r="H698" s="54" t="s">
        <v>363</v>
      </c>
    </row>
    <row r="699" spans="1:8" x14ac:dyDescent="0.25">
      <c r="A699" s="52">
        <f t="shared" si="10"/>
        <v>698</v>
      </c>
      <c r="B699" s="28" t="s">
        <v>1080</v>
      </c>
      <c r="C699" s="13" t="s">
        <v>1083</v>
      </c>
      <c r="D699" s="13" t="s">
        <v>1084</v>
      </c>
      <c r="E699" s="1" t="s">
        <v>4</v>
      </c>
      <c r="F699" s="8" t="s">
        <v>20</v>
      </c>
      <c r="G699" s="3" t="s">
        <v>30</v>
      </c>
      <c r="H699" s="54" t="s">
        <v>110</v>
      </c>
    </row>
    <row r="700" spans="1:8" x14ac:dyDescent="0.25">
      <c r="A700" s="52">
        <f t="shared" si="10"/>
        <v>699</v>
      </c>
      <c r="B700" s="28" t="s">
        <v>1080</v>
      </c>
      <c r="C700" s="13" t="s">
        <v>1083</v>
      </c>
      <c r="D700" s="13" t="s">
        <v>1084</v>
      </c>
      <c r="E700" s="1" t="s">
        <v>5</v>
      </c>
      <c r="F700" s="8" t="s">
        <v>21</v>
      </c>
      <c r="G700" s="3" t="s">
        <v>30</v>
      </c>
      <c r="H700" s="54" t="s">
        <v>359</v>
      </c>
    </row>
    <row r="701" spans="1:8" x14ac:dyDescent="0.25">
      <c r="A701" s="52">
        <f t="shared" si="10"/>
        <v>700</v>
      </c>
      <c r="B701" s="28" t="s">
        <v>1080</v>
      </c>
      <c r="C701" s="13" t="s">
        <v>1083</v>
      </c>
      <c r="D701" s="13" t="s">
        <v>1084</v>
      </c>
      <c r="E701" s="1" t="s">
        <v>6</v>
      </c>
      <c r="F701" s="8" t="s">
        <v>943</v>
      </c>
      <c r="G701" s="3" t="s">
        <v>30</v>
      </c>
      <c r="H701" s="52" t="s">
        <v>1137</v>
      </c>
    </row>
    <row r="702" spans="1:8" x14ac:dyDescent="0.25">
      <c r="A702" s="52">
        <f t="shared" si="10"/>
        <v>701</v>
      </c>
      <c r="B702" s="28" t="s">
        <v>1080</v>
      </c>
      <c r="C702" s="13" t="s">
        <v>1083</v>
      </c>
      <c r="D702" s="13" t="s">
        <v>1084</v>
      </c>
      <c r="E702" s="1" t="s">
        <v>7</v>
      </c>
      <c r="F702" s="8" t="s">
        <v>23</v>
      </c>
      <c r="G702" s="3" t="s">
        <v>30</v>
      </c>
      <c r="H702" s="54" t="s">
        <v>882</v>
      </c>
    </row>
    <row r="703" spans="1:8" x14ac:dyDescent="0.25">
      <c r="A703" s="52">
        <f t="shared" si="10"/>
        <v>702</v>
      </c>
      <c r="B703" s="28" t="s">
        <v>1080</v>
      </c>
      <c r="C703" s="13" t="s">
        <v>1083</v>
      </c>
      <c r="D703" s="13" t="s">
        <v>1084</v>
      </c>
      <c r="E703" s="1" t="s">
        <v>8</v>
      </c>
      <c r="F703" s="8" t="s">
        <v>24</v>
      </c>
      <c r="G703" s="3" t="s">
        <v>30</v>
      </c>
      <c r="H703" s="54" t="s">
        <v>111</v>
      </c>
    </row>
    <row r="704" spans="1:8" x14ac:dyDescent="0.25">
      <c r="A704" s="52">
        <f t="shared" si="10"/>
        <v>703</v>
      </c>
      <c r="B704" s="28" t="s">
        <v>1080</v>
      </c>
      <c r="C704" s="13" t="s">
        <v>1083</v>
      </c>
      <c r="D704" s="13" t="s">
        <v>1084</v>
      </c>
      <c r="E704" s="1" t="s">
        <v>9</v>
      </c>
      <c r="F704" s="8" t="s">
        <v>944</v>
      </c>
      <c r="G704" s="3" t="s">
        <v>30</v>
      </c>
      <c r="H704" s="52" t="s">
        <v>400</v>
      </c>
    </row>
    <row r="705" spans="1:8" x14ac:dyDescent="0.25">
      <c r="A705" s="52">
        <f t="shared" si="10"/>
        <v>704</v>
      </c>
      <c r="B705" s="28" t="s">
        <v>1080</v>
      </c>
      <c r="C705" s="13" t="s">
        <v>1083</v>
      </c>
      <c r="D705" s="13" t="s">
        <v>1084</v>
      </c>
      <c r="E705" s="1" t="s">
        <v>10</v>
      </c>
      <c r="F705" s="8" t="s">
        <v>1069</v>
      </c>
      <c r="G705" s="3" t="s">
        <v>30</v>
      </c>
      <c r="H705" t="s">
        <v>112</v>
      </c>
    </row>
    <row r="706" spans="1:8" x14ac:dyDescent="0.25">
      <c r="A706" s="52">
        <f t="shared" si="10"/>
        <v>705</v>
      </c>
      <c r="B706" s="28" t="s">
        <v>1080</v>
      </c>
      <c r="C706" s="13" t="s">
        <v>1083</v>
      </c>
      <c r="D706" s="13" t="s">
        <v>1084</v>
      </c>
      <c r="E706" s="1" t="s">
        <v>925</v>
      </c>
      <c r="F706" s="8" t="s">
        <v>926</v>
      </c>
      <c r="G706" s="3" t="s">
        <v>30</v>
      </c>
      <c r="H706" s="54" t="s">
        <v>927</v>
      </c>
    </row>
    <row r="707" spans="1:8" x14ac:dyDescent="0.25">
      <c r="A707" s="52">
        <f t="shared" si="10"/>
        <v>706</v>
      </c>
      <c r="B707" s="28" t="s">
        <v>1080</v>
      </c>
      <c r="C707" s="13" t="s">
        <v>1083</v>
      </c>
      <c r="D707" s="13" t="s">
        <v>1084</v>
      </c>
      <c r="E707" s="1" t="s">
        <v>11</v>
      </c>
      <c r="F707" s="8" t="s">
        <v>1070</v>
      </c>
      <c r="G707" s="3" t="s">
        <v>30</v>
      </c>
      <c r="H707" s="54" t="s">
        <v>361</v>
      </c>
    </row>
    <row r="708" spans="1:8" x14ac:dyDescent="0.25">
      <c r="A708" s="52">
        <f t="shared" ref="A708:A771" si="11">+A707+1</f>
        <v>707</v>
      </c>
      <c r="B708" s="28" t="s">
        <v>1080</v>
      </c>
      <c r="C708" s="13" t="s">
        <v>1083</v>
      </c>
      <c r="D708" s="13" t="s">
        <v>1084</v>
      </c>
      <c r="E708" s="1" t="s">
        <v>928</v>
      </c>
      <c r="F708" s="8" t="s">
        <v>929</v>
      </c>
      <c r="G708" s="3" t="s">
        <v>30</v>
      </c>
      <c r="H708" s="54" t="s">
        <v>1040</v>
      </c>
    </row>
    <row r="709" spans="1:8" x14ac:dyDescent="0.25">
      <c r="A709" s="52">
        <f t="shared" si="11"/>
        <v>708</v>
      </c>
      <c r="B709" s="28" t="s">
        <v>1080</v>
      </c>
      <c r="C709" s="13" t="s">
        <v>1083</v>
      </c>
      <c r="D709" s="13" t="s">
        <v>1084</v>
      </c>
      <c r="E709" s="1" t="s">
        <v>12</v>
      </c>
      <c r="F709" s="8" t="s">
        <v>1071</v>
      </c>
      <c r="G709" s="3" t="s">
        <v>30</v>
      </c>
      <c r="H709" t="s">
        <v>362</v>
      </c>
    </row>
    <row r="710" spans="1:8" x14ac:dyDescent="0.25">
      <c r="A710" s="52">
        <f t="shared" si="11"/>
        <v>709</v>
      </c>
      <c r="B710" s="28" t="s">
        <v>1080</v>
      </c>
      <c r="C710" s="13" t="s">
        <v>1083</v>
      </c>
      <c r="D710" s="13" t="s">
        <v>1084</v>
      </c>
      <c r="E710" s="1" t="s">
        <v>930</v>
      </c>
      <c r="F710" s="8" t="s">
        <v>931</v>
      </c>
      <c r="G710" s="3" t="s">
        <v>30</v>
      </c>
      <c r="H710" s="54" t="s">
        <v>1041</v>
      </c>
    </row>
    <row r="711" spans="1:8" x14ac:dyDescent="0.25">
      <c r="A711" s="52">
        <f t="shared" si="11"/>
        <v>710</v>
      </c>
      <c r="B711" s="28" t="s">
        <v>1080</v>
      </c>
      <c r="C711" s="13" t="s">
        <v>1083</v>
      </c>
      <c r="D711" s="13" t="s">
        <v>1084</v>
      </c>
      <c r="E711" s="1" t="s">
        <v>13</v>
      </c>
      <c r="F711" s="8" t="s">
        <v>945</v>
      </c>
      <c r="G711" s="3" t="s">
        <v>31</v>
      </c>
      <c r="H711" s="54" t="s">
        <v>946</v>
      </c>
    </row>
    <row r="712" spans="1:8" ht="25.5" x14ac:dyDescent="0.25">
      <c r="A712" s="52">
        <f t="shared" si="11"/>
        <v>711</v>
      </c>
      <c r="B712" s="28" t="s">
        <v>1080</v>
      </c>
      <c r="C712" s="13" t="s">
        <v>1083</v>
      </c>
      <c r="D712" s="13" t="s">
        <v>1084</v>
      </c>
      <c r="E712" s="1" t="s">
        <v>14</v>
      </c>
      <c r="F712" s="8" t="s">
        <v>947</v>
      </c>
      <c r="G712" s="3" t="s">
        <v>30</v>
      </c>
      <c r="H712" s="54" t="s">
        <v>948</v>
      </c>
    </row>
    <row r="713" spans="1:8" ht="25.5" x14ac:dyDescent="0.25">
      <c r="A713" s="52">
        <f t="shared" si="11"/>
        <v>712</v>
      </c>
      <c r="B713" s="28" t="s">
        <v>1080</v>
      </c>
      <c r="C713" s="13" t="s">
        <v>1083</v>
      </c>
      <c r="D713" s="13" t="s">
        <v>1084</v>
      </c>
      <c r="E713" s="1" t="s">
        <v>15</v>
      </c>
      <c r="F713" s="8" t="s">
        <v>949</v>
      </c>
      <c r="G713" s="3" t="s">
        <v>30</v>
      </c>
      <c r="H713" s="54" t="s">
        <v>950</v>
      </c>
    </row>
    <row r="714" spans="1:8" x14ac:dyDescent="0.25">
      <c r="A714" s="52">
        <f t="shared" si="11"/>
        <v>713</v>
      </c>
      <c r="B714" s="28" t="s">
        <v>1080</v>
      </c>
      <c r="C714" s="13" t="s">
        <v>1083</v>
      </c>
      <c r="D714" s="13" t="s">
        <v>1084</v>
      </c>
      <c r="E714" s="1"/>
      <c r="F714" s="8" t="s">
        <v>29</v>
      </c>
      <c r="G714" s="3" t="s">
        <v>31</v>
      </c>
      <c r="H714" s="54" t="s">
        <v>132</v>
      </c>
    </row>
    <row r="715" spans="1:8" x14ac:dyDescent="0.25">
      <c r="A715" s="52">
        <f t="shared" si="11"/>
        <v>714</v>
      </c>
      <c r="B715" s="28" t="s">
        <v>1080</v>
      </c>
      <c r="C715" s="13" t="s">
        <v>1083</v>
      </c>
      <c r="D715" s="13" t="s">
        <v>1085</v>
      </c>
      <c r="E715" s="1" t="s">
        <v>32</v>
      </c>
      <c r="F715" s="18" t="s">
        <v>1067</v>
      </c>
      <c r="G715" s="3" t="s">
        <v>30</v>
      </c>
      <c r="H715" s="54" t="s">
        <v>130</v>
      </c>
    </row>
    <row r="716" spans="1:8" x14ac:dyDescent="0.25">
      <c r="A716" s="52">
        <f t="shared" si="11"/>
        <v>715</v>
      </c>
      <c r="B716" s="28" t="s">
        <v>1080</v>
      </c>
      <c r="C716" s="13" t="s">
        <v>1083</v>
      </c>
      <c r="D716" s="13" t="s">
        <v>1085</v>
      </c>
      <c r="E716" s="2" t="s">
        <v>1</v>
      </c>
      <c r="F716" s="19" t="s">
        <v>17</v>
      </c>
      <c r="G716" s="4" t="s">
        <v>30</v>
      </c>
      <c r="H716" s="54" t="s">
        <v>108</v>
      </c>
    </row>
    <row r="717" spans="1:8" x14ac:dyDescent="0.25">
      <c r="A717" s="52">
        <f t="shared" si="11"/>
        <v>716</v>
      </c>
      <c r="B717" s="28" t="s">
        <v>1080</v>
      </c>
      <c r="C717" s="13" t="s">
        <v>1083</v>
      </c>
      <c r="D717" s="13" t="s">
        <v>1085</v>
      </c>
      <c r="E717" s="1" t="s">
        <v>33</v>
      </c>
      <c r="F717" s="8" t="s">
        <v>1072</v>
      </c>
      <c r="G717" s="3" t="s">
        <v>30</v>
      </c>
      <c r="H717" s="54" t="s">
        <v>114</v>
      </c>
    </row>
    <row r="718" spans="1:8" x14ac:dyDescent="0.25">
      <c r="A718" s="52">
        <f t="shared" si="11"/>
        <v>717</v>
      </c>
      <c r="B718" s="28" t="s">
        <v>1080</v>
      </c>
      <c r="C718" s="13" t="s">
        <v>1083</v>
      </c>
      <c r="D718" s="13" t="s">
        <v>1085</v>
      </c>
      <c r="E718" s="1" t="s">
        <v>34</v>
      </c>
      <c r="F718" s="8" t="s">
        <v>1073</v>
      </c>
      <c r="G718" s="3" t="s">
        <v>30</v>
      </c>
      <c r="H718" s="54" t="s">
        <v>128</v>
      </c>
    </row>
    <row r="719" spans="1:8" x14ac:dyDescent="0.25">
      <c r="A719" s="52">
        <f t="shared" si="11"/>
        <v>718</v>
      </c>
      <c r="B719" s="28" t="s">
        <v>1080</v>
      </c>
      <c r="C719" s="13" t="s">
        <v>1083</v>
      </c>
      <c r="D719" s="13" t="s">
        <v>1085</v>
      </c>
      <c r="E719" s="1" t="s">
        <v>35</v>
      </c>
      <c r="F719" s="8" t="s">
        <v>1074</v>
      </c>
      <c r="G719" s="3" t="s">
        <v>30</v>
      </c>
      <c r="H719" s="54" t="s">
        <v>368</v>
      </c>
    </row>
    <row r="720" spans="1:8" x14ac:dyDescent="0.25">
      <c r="A720" s="52">
        <f t="shared" si="11"/>
        <v>719</v>
      </c>
      <c r="B720" s="28" t="s">
        <v>1080</v>
      </c>
      <c r="C720" s="13" t="s">
        <v>1083</v>
      </c>
      <c r="D720" s="13" t="s">
        <v>1085</v>
      </c>
      <c r="E720" s="1" t="s">
        <v>36</v>
      </c>
      <c r="F720" s="8" t="s">
        <v>294</v>
      </c>
      <c r="G720" s="3" t="s">
        <v>30</v>
      </c>
      <c r="H720" s="54" t="s">
        <v>1021</v>
      </c>
    </row>
    <row r="721" spans="1:8" x14ac:dyDescent="0.25">
      <c r="A721" s="52">
        <f t="shared" si="11"/>
        <v>720</v>
      </c>
      <c r="B721" s="28" t="s">
        <v>1080</v>
      </c>
      <c r="C721" s="13" t="s">
        <v>1083</v>
      </c>
      <c r="D721" s="13" t="s">
        <v>1085</v>
      </c>
      <c r="E721" s="1" t="s">
        <v>37</v>
      </c>
      <c r="F721" s="8" t="s">
        <v>951</v>
      </c>
      <c r="G721" s="3" t="s">
        <v>30</v>
      </c>
      <c r="H721" s="52" t="s">
        <v>400</v>
      </c>
    </row>
    <row r="722" spans="1:8" x14ac:dyDescent="0.25">
      <c r="A722" s="52">
        <f t="shared" si="11"/>
        <v>721</v>
      </c>
      <c r="B722" s="28" t="s">
        <v>1080</v>
      </c>
      <c r="C722" s="13" t="s">
        <v>1083</v>
      </c>
      <c r="D722" s="13" t="s">
        <v>1085</v>
      </c>
      <c r="E722" s="1" t="s">
        <v>38</v>
      </c>
      <c r="F722" s="8" t="s">
        <v>1075</v>
      </c>
      <c r="G722" s="3" t="s">
        <v>30</v>
      </c>
      <c r="H722" s="54" t="s">
        <v>116</v>
      </c>
    </row>
    <row r="723" spans="1:8" x14ac:dyDescent="0.25">
      <c r="A723" s="52">
        <f t="shared" si="11"/>
        <v>722</v>
      </c>
      <c r="B723" s="28" t="s">
        <v>1080</v>
      </c>
      <c r="C723" s="13" t="s">
        <v>1083</v>
      </c>
      <c r="D723" s="13" t="s">
        <v>1085</v>
      </c>
      <c r="E723" s="1" t="s">
        <v>40</v>
      </c>
      <c r="F723" s="8" t="s">
        <v>1076</v>
      </c>
      <c r="G723" s="3" t="s">
        <v>30</v>
      </c>
      <c r="H723" s="54" t="s">
        <v>842</v>
      </c>
    </row>
    <row r="724" spans="1:8" x14ac:dyDescent="0.25">
      <c r="A724" s="52">
        <f t="shared" si="11"/>
        <v>723</v>
      </c>
      <c r="B724" s="28" t="s">
        <v>1080</v>
      </c>
      <c r="C724" s="13" t="s">
        <v>1083</v>
      </c>
      <c r="D724" s="13" t="s">
        <v>1085</v>
      </c>
      <c r="E724" s="5" t="s">
        <v>41</v>
      </c>
      <c r="F724" s="20" t="s">
        <v>55</v>
      </c>
      <c r="G724" s="7" t="s">
        <v>30</v>
      </c>
      <c r="H724" s="54" t="s">
        <v>117</v>
      </c>
    </row>
    <row r="725" spans="1:8" x14ac:dyDescent="0.25">
      <c r="A725" s="52">
        <f t="shared" si="11"/>
        <v>724</v>
      </c>
      <c r="B725" s="28" t="s">
        <v>1080</v>
      </c>
      <c r="C725" s="13" t="s">
        <v>1083</v>
      </c>
      <c r="D725" s="13" t="s">
        <v>1085</v>
      </c>
      <c r="E725" s="5" t="s">
        <v>192</v>
      </c>
      <c r="F725" s="20" t="s">
        <v>57</v>
      </c>
      <c r="G725" s="7" t="s">
        <v>30</v>
      </c>
      <c r="H725" s="54" t="s">
        <v>898</v>
      </c>
    </row>
    <row r="726" spans="1:8" x14ac:dyDescent="0.25">
      <c r="A726" s="52">
        <f t="shared" si="11"/>
        <v>725</v>
      </c>
      <c r="B726" s="28" t="s">
        <v>1080</v>
      </c>
      <c r="C726" s="13" t="s">
        <v>1083</v>
      </c>
      <c r="D726" s="13" t="s">
        <v>1085</v>
      </c>
      <c r="E726" s="1" t="s">
        <v>42</v>
      </c>
      <c r="F726" s="8" t="s">
        <v>1077</v>
      </c>
      <c r="G726" s="3" t="s">
        <v>30</v>
      </c>
      <c r="H726" s="54" t="s">
        <v>119</v>
      </c>
    </row>
    <row r="727" spans="1:8" x14ac:dyDescent="0.25">
      <c r="A727" s="52">
        <f t="shared" si="11"/>
        <v>726</v>
      </c>
      <c r="B727" s="28" t="s">
        <v>1080</v>
      </c>
      <c r="C727" s="13" t="s">
        <v>1083</v>
      </c>
      <c r="D727" s="13" t="s">
        <v>1085</v>
      </c>
      <c r="E727" s="1" t="s">
        <v>44</v>
      </c>
      <c r="F727" s="8" t="s">
        <v>59</v>
      </c>
      <c r="G727" s="3" t="s">
        <v>30</v>
      </c>
      <c r="H727" s="54" t="s">
        <v>120</v>
      </c>
    </row>
    <row r="728" spans="1:8" x14ac:dyDescent="0.25">
      <c r="A728" s="52">
        <f t="shared" si="11"/>
        <v>727</v>
      </c>
      <c r="B728" s="28" t="s">
        <v>1080</v>
      </c>
      <c r="C728" s="13" t="s">
        <v>1083</v>
      </c>
      <c r="D728" s="13" t="s">
        <v>1085</v>
      </c>
      <c r="E728" s="1" t="s">
        <v>45</v>
      </c>
      <c r="F728" s="8" t="s">
        <v>301</v>
      </c>
      <c r="G728" s="3" t="s">
        <v>30</v>
      </c>
      <c r="H728" s="54" t="s">
        <v>404</v>
      </c>
    </row>
    <row r="729" spans="1:8" x14ac:dyDescent="0.25">
      <c r="A729" s="52">
        <f t="shared" si="11"/>
        <v>728</v>
      </c>
      <c r="B729" s="28" t="s">
        <v>1080</v>
      </c>
      <c r="C729" s="13" t="s">
        <v>1083</v>
      </c>
      <c r="D729" s="13" t="s">
        <v>1085</v>
      </c>
      <c r="E729" s="1" t="s">
        <v>47</v>
      </c>
      <c r="F729" s="8" t="s">
        <v>62</v>
      </c>
      <c r="G729" s="3" t="s">
        <v>30</v>
      </c>
      <c r="H729" s="54" t="s">
        <v>122</v>
      </c>
    </row>
    <row r="730" spans="1:8" x14ac:dyDescent="0.25">
      <c r="A730" s="52">
        <f t="shared" si="11"/>
        <v>729</v>
      </c>
      <c r="B730" s="28" t="s">
        <v>1080</v>
      </c>
      <c r="C730" s="13" t="s">
        <v>1083</v>
      </c>
      <c r="D730" s="13" t="s">
        <v>1085</v>
      </c>
      <c r="E730" s="6" t="s">
        <v>48</v>
      </c>
      <c r="F730" s="21" t="s">
        <v>934</v>
      </c>
      <c r="G730" s="9" t="s">
        <v>30</v>
      </c>
      <c r="H730" s="54" t="s">
        <v>405</v>
      </c>
    </row>
    <row r="731" spans="1:8" x14ac:dyDescent="0.25">
      <c r="A731" s="52">
        <f t="shared" si="11"/>
        <v>730</v>
      </c>
      <c r="B731" s="28" t="s">
        <v>1080</v>
      </c>
      <c r="C731" s="13" t="s">
        <v>1083</v>
      </c>
      <c r="D731" s="13" t="s">
        <v>1085</v>
      </c>
      <c r="E731" s="1" t="s">
        <v>49</v>
      </c>
      <c r="F731" s="8" t="s">
        <v>61</v>
      </c>
      <c r="G731" s="3" t="s">
        <v>30</v>
      </c>
      <c r="H731" s="54" t="s">
        <v>129</v>
      </c>
    </row>
    <row r="732" spans="1:8" x14ac:dyDescent="0.25">
      <c r="A732" s="52">
        <f t="shared" si="11"/>
        <v>731</v>
      </c>
      <c r="B732" s="28" t="s">
        <v>1080</v>
      </c>
      <c r="C732" s="13" t="s">
        <v>1083</v>
      </c>
      <c r="D732" s="13" t="s">
        <v>1085</v>
      </c>
      <c r="E732" s="1" t="s">
        <v>50</v>
      </c>
      <c r="F732" s="8" t="s">
        <v>214</v>
      </c>
      <c r="G732" s="3" t="s">
        <v>30</v>
      </c>
      <c r="H732" s="54" t="s">
        <v>1046</v>
      </c>
    </row>
    <row r="733" spans="1:8" x14ac:dyDescent="0.25">
      <c r="A733" s="52">
        <f t="shared" si="11"/>
        <v>732</v>
      </c>
      <c r="B733" s="28" t="s">
        <v>1080</v>
      </c>
      <c r="C733" s="13" t="s">
        <v>1083</v>
      </c>
      <c r="D733" s="13" t="s">
        <v>1085</v>
      </c>
      <c r="E733" s="1" t="s">
        <v>221</v>
      </c>
      <c r="F733" s="8" t="s">
        <v>935</v>
      </c>
      <c r="G733" s="3" t="s">
        <v>30</v>
      </c>
      <c r="H733" s="54" t="s">
        <v>406</v>
      </c>
    </row>
    <row r="734" spans="1:8" x14ac:dyDescent="0.25">
      <c r="A734" s="52">
        <f t="shared" si="11"/>
        <v>733</v>
      </c>
      <c r="B734" s="28" t="s">
        <v>1080</v>
      </c>
      <c r="C734" s="13" t="s">
        <v>1083</v>
      </c>
      <c r="D734" s="13" t="s">
        <v>1085</v>
      </c>
      <c r="E734" s="1" t="s">
        <v>51</v>
      </c>
      <c r="F734" s="8" t="s">
        <v>952</v>
      </c>
      <c r="G734" s="3" t="s">
        <v>30</v>
      </c>
      <c r="H734" s="54" t="s">
        <v>1134</v>
      </c>
    </row>
    <row r="735" spans="1:8" x14ac:dyDescent="0.25">
      <c r="A735" s="52">
        <f t="shared" si="11"/>
        <v>734</v>
      </c>
      <c r="B735" s="28" t="s">
        <v>1080</v>
      </c>
      <c r="C735" s="13" t="s">
        <v>1083</v>
      </c>
      <c r="D735" s="13" t="s">
        <v>1085</v>
      </c>
      <c r="E735" s="1" t="s">
        <v>224</v>
      </c>
      <c r="F735" s="8" t="s">
        <v>64</v>
      </c>
      <c r="G735" s="3" t="s">
        <v>30</v>
      </c>
      <c r="H735" s="54" t="s">
        <v>123</v>
      </c>
    </row>
    <row r="736" spans="1:8" x14ac:dyDescent="0.25">
      <c r="A736" s="52">
        <f t="shared" si="11"/>
        <v>735</v>
      </c>
      <c r="B736" s="28" t="s">
        <v>1080</v>
      </c>
      <c r="C736" s="13" t="s">
        <v>1083</v>
      </c>
      <c r="D736" s="13" t="s">
        <v>1085</v>
      </c>
      <c r="E736" s="6" t="s">
        <v>228</v>
      </c>
      <c r="F736" s="21" t="s">
        <v>958</v>
      </c>
      <c r="G736" s="9" t="s">
        <v>30</v>
      </c>
      <c r="H736" s="54" t="s">
        <v>391</v>
      </c>
    </row>
    <row r="737" spans="1:8" x14ac:dyDescent="0.25">
      <c r="A737" s="52">
        <f t="shared" si="11"/>
        <v>736</v>
      </c>
      <c r="B737" s="28" t="s">
        <v>1080</v>
      </c>
      <c r="C737" s="13" t="s">
        <v>1083</v>
      </c>
      <c r="D737" s="13" t="s">
        <v>1085</v>
      </c>
      <c r="E737" s="6" t="s">
        <v>1127</v>
      </c>
      <c r="F737" s="21" t="s">
        <v>1128</v>
      </c>
      <c r="G737" s="9" t="s">
        <v>30</v>
      </c>
      <c r="H737" t="s">
        <v>115</v>
      </c>
    </row>
    <row r="738" spans="1:8" x14ac:dyDescent="0.25">
      <c r="A738" s="52">
        <f t="shared" si="11"/>
        <v>737</v>
      </c>
      <c r="B738" s="28" t="s">
        <v>1080</v>
      </c>
      <c r="C738" s="13" t="s">
        <v>1083</v>
      </c>
      <c r="D738" s="13" t="s">
        <v>1085</v>
      </c>
      <c r="E738" s="6" t="s">
        <v>231</v>
      </c>
      <c r="F738" s="21" t="s">
        <v>67</v>
      </c>
      <c r="G738" s="9" t="s">
        <v>30</v>
      </c>
      <c r="H738" s="54" t="s">
        <v>125</v>
      </c>
    </row>
    <row r="739" spans="1:8" x14ac:dyDescent="0.25">
      <c r="A739" s="52">
        <f t="shared" si="11"/>
        <v>738</v>
      </c>
      <c r="B739" s="28" t="s">
        <v>1080</v>
      </c>
      <c r="C739" s="13" t="s">
        <v>1083</v>
      </c>
      <c r="D739" s="13" t="s">
        <v>1085</v>
      </c>
      <c r="E739" s="6" t="s">
        <v>938</v>
      </c>
      <c r="F739" s="21" t="s">
        <v>957</v>
      </c>
      <c r="G739" s="9" t="s">
        <v>30</v>
      </c>
      <c r="H739" s="54" t="s">
        <v>392</v>
      </c>
    </row>
    <row r="740" spans="1:8" x14ac:dyDescent="0.25">
      <c r="A740" s="52">
        <f t="shared" si="11"/>
        <v>739</v>
      </c>
      <c r="B740" s="28" t="s">
        <v>1080</v>
      </c>
      <c r="C740" s="13" t="s">
        <v>1083</v>
      </c>
      <c r="D740" s="13" t="s">
        <v>1085</v>
      </c>
      <c r="E740" s="6" t="s">
        <v>940</v>
      </c>
      <c r="F740" s="21" t="s">
        <v>937</v>
      </c>
      <c r="G740" s="9" t="s">
        <v>30</v>
      </c>
      <c r="H740" s="54" t="s">
        <v>959</v>
      </c>
    </row>
    <row r="741" spans="1:8" x14ac:dyDescent="0.25">
      <c r="A741" s="52">
        <f t="shared" si="11"/>
        <v>740</v>
      </c>
      <c r="B741" s="28" t="s">
        <v>1080</v>
      </c>
      <c r="C741" s="13" t="s">
        <v>1083</v>
      </c>
      <c r="D741" s="13" t="s">
        <v>1085</v>
      </c>
      <c r="E741" s="6" t="s">
        <v>953</v>
      </c>
      <c r="F741" s="21" t="s">
        <v>225</v>
      </c>
      <c r="G741" s="9" t="s">
        <v>30</v>
      </c>
      <c r="H741" s="54" t="s">
        <v>1120</v>
      </c>
    </row>
    <row r="742" spans="1:8" x14ac:dyDescent="0.25">
      <c r="A742" s="52">
        <f t="shared" si="11"/>
        <v>741</v>
      </c>
      <c r="B742" s="28" t="s">
        <v>1080</v>
      </c>
      <c r="C742" s="13" t="s">
        <v>1083</v>
      </c>
      <c r="D742" s="13" t="s">
        <v>1085</v>
      </c>
      <c r="E742" s="6" t="s">
        <v>954</v>
      </c>
      <c r="F742" s="21" t="s">
        <v>939</v>
      </c>
      <c r="G742" s="9" t="s">
        <v>30</v>
      </c>
      <c r="H742" s="52" t="s">
        <v>1047</v>
      </c>
    </row>
    <row r="743" spans="1:8" x14ac:dyDescent="0.25">
      <c r="A743" s="52">
        <f t="shared" si="11"/>
        <v>742</v>
      </c>
      <c r="B743" s="28" t="s">
        <v>1080</v>
      </c>
      <c r="C743" s="13" t="s">
        <v>1083</v>
      </c>
      <c r="D743" s="13" t="s">
        <v>1085</v>
      </c>
      <c r="E743" s="6" t="s">
        <v>955</v>
      </c>
      <c r="F743" s="19" t="s">
        <v>323</v>
      </c>
      <c r="G743" s="2" t="s">
        <v>30</v>
      </c>
      <c r="H743" t="s">
        <v>1129</v>
      </c>
    </row>
    <row r="744" spans="1:8" x14ac:dyDescent="0.25">
      <c r="A744" s="52">
        <f t="shared" si="11"/>
        <v>743</v>
      </c>
      <c r="B744" s="28" t="s">
        <v>1080</v>
      </c>
      <c r="C744" s="13" t="s">
        <v>1083</v>
      </c>
      <c r="D744" s="13" t="s">
        <v>1085</v>
      </c>
      <c r="E744" s="1"/>
      <c r="F744" s="19" t="s">
        <v>29</v>
      </c>
      <c r="G744" s="2" t="s">
        <v>31</v>
      </c>
      <c r="H744" s="54" t="s">
        <v>132</v>
      </c>
    </row>
    <row r="745" spans="1:8" x14ac:dyDescent="0.25">
      <c r="A745" s="52">
        <f t="shared" si="11"/>
        <v>744</v>
      </c>
      <c r="B745" s="28" t="s">
        <v>1080</v>
      </c>
      <c r="C745" s="13" t="s">
        <v>1083</v>
      </c>
      <c r="D745" s="1" t="s">
        <v>1086</v>
      </c>
      <c r="E745" s="1" t="s">
        <v>0</v>
      </c>
      <c r="F745" s="18" t="s">
        <v>1067</v>
      </c>
      <c r="G745" s="3" t="s">
        <v>30</v>
      </c>
      <c r="H745" s="54" t="s">
        <v>130</v>
      </c>
    </row>
    <row r="746" spans="1:8" x14ac:dyDescent="0.25">
      <c r="A746" s="52">
        <f t="shared" si="11"/>
        <v>745</v>
      </c>
      <c r="B746" s="28" t="s">
        <v>1080</v>
      </c>
      <c r="C746" s="13" t="s">
        <v>1083</v>
      </c>
      <c r="D746" s="1" t="s">
        <v>1086</v>
      </c>
      <c r="E746" s="1" t="s">
        <v>1</v>
      </c>
      <c r="F746" s="8" t="s">
        <v>17</v>
      </c>
      <c r="G746" s="3" t="s">
        <v>30</v>
      </c>
      <c r="H746" s="54" t="s">
        <v>108</v>
      </c>
    </row>
    <row r="747" spans="1:8" x14ac:dyDescent="0.25">
      <c r="A747" s="52">
        <f t="shared" si="11"/>
        <v>746</v>
      </c>
      <c r="B747" s="28" t="s">
        <v>1080</v>
      </c>
      <c r="C747" s="13" t="s">
        <v>1083</v>
      </c>
      <c r="D747" s="1" t="s">
        <v>1086</v>
      </c>
      <c r="E747" s="1" t="s">
        <v>33</v>
      </c>
      <c r="F747" s="8" t="s">
        <v>1072</v>
      </c>
      <c r="G747" s="3" t="s">
        <v>30</v>
      </c>
      <c r="H747" s="54" t="s">
        <v>114</v>
      </c>
    </row>
    <row r="748" spans="1:8" x14ac:dyDescent="0.25">
      <c r="A748" s="52">
        <f t="shared" si="11"/>
        <v>747</v>
      </c>
      <c r="B748" s="28" t="s">
        <v>1080</v>
      </c>
      <c r="C748" s="13" t="s">
        <v>1083</v>
      </c>
      <c r="D748" s="1" t="s">
        <v>1086</v>
      </c>
      <c r="E748" s="1" t="s">
        <v>70</v>
      </c>
      <c r="F748" s="8" t="s">
        <v>82</v>
      </c>
      <c r="G748" s="3" t="s">
        <v>30</v>
      </c>
      <c r="H748" s="52" t="s">
        <v>393</v>
      </c>
    </row>
    <row r="749" spans="1:8" x14ac:dyDescent="0.25">
      <c r="A749" s="52">
        <f t="shared" si="11"/>
        <v>748</v>
      </c>
      <c r="B749" s="28" t="s">
        <v>1080</v>
      </c>
      <c r="C749" s="13" t="s">
        <v>1083</v>
      </c>
      <c r="D749" s="1" t="s">
        <v>1086</v>
      </c>
      <c r="E749" s="1" t="s">
        <v>72</v>
      </c>
      <c r="F749" s="8" t="s">
        <v>83</v>
      </c>
      <c r="G749" s="3" t="s">
        <v>30</v>
      </c>
      <c r="H749" s="54" t="s">
        <v>395</v>
      </c>
    </row>
    <row r="750" spans="1:8" ht="25.5" x14ac:dyDescent="0.25">
      <c r="A750" s="52">
        <f t="shared" si="11"/>
        <v>749</v>
      </c>
      <c r="B750" s="28" t="s">
        <v>1080</v>
      </c>
      <c r="C750" s="13" t="s">
        <v>1083</v>
      </c>
      <c r="D750" s="1" t="s">
        <v>1086</v>
      </c>
      <c r="E750" s="1" t="s">
        <v>74</v>
      </c>
      <c r="F750" s="8" t="s">
        <v>1078</v>
      </c>
      <c r="G750" s="3" t="s">
        <v>30</v>
      </c>
      <c r="H750" s="54" t="s">
        <v>131</v>
      </c>
    </row>
    <row r="751" spans="1:8" ht="25.5" x14ac:dyDescent="0.25">
      <c r="A751" s="52">
        <f t="shared" si="11"/>
        <v>750</v>
      </c>
      <c r="B751" s="28" t="s">
        <v>1080</v>
      </c>
      <c r="C751" s="13" t="s">
        <v>1083</v>
      </c>
      <c r="D751" s="1" t="s">
        <v>1086</v>
      </c>
      <c r="E751" s="1" t="s">
        <v>237</v>
      </c>
      <c r="F751" s="8" t="s">
        <v>1079</v>
      </c>
      <c r="G751" s="3" t="s">
        <v>30</v>
      </c>
      <c r="H751" s="54" t="s">
        <v>126</v>
      </c>
    </row>
    <row r="752" spans="1:8" x14ac:dyDescent="0.25">
      <c r="A752" s="52">
        <f t="shared" si="11"/>
        <v>751</v>
      </c>
      <c r="B752" s="28" t="s">
        <v>1080</v>
      </c>
      <c r="C752" s="13" t="s">
        <v>1083</v>
      </c>
      <c r="D752" s="1" t="s">
        <v>1086</v>
      </c>
      <c r="E752" s="10" t="s">
        <v>76</v>
      </c>
      <c r="F752" s="8" t="s">
        <v>79</v>
      </c>
      <c r="G752" s="3" t="s">
        <v>30</v>
      </c>
      <c r="H752" s="54" t="s">
        <v>913</v>
      </c>
    </row>
    <row r="753" spans="1:8" x14ac:dyDescent="0.25">
      <c r="A753" s="52">
        <f t="shared" si="11"/>
        <v>752</v>
      </c>
      <c r="B753" s="28" t="s">
        <v>1080</v>
      </c>
      <c r="C753" s="13" t="s">
        <v>1083</v>
      </c>
      <c r="D753" s="1" t="s">
        <v>1086</v>
      </c>
      <c r="E753" s="1" t="s">
        <v>77</v>
      </c>
      <c r="F753" s="8" t="s">
        <v>941</v>
      </c>
      <c r="G753" s="3" t="s">
        <v>30</v>
      </c>
      <c r="H753" s="52" t="s">
        <v>1130</v>
      </c>
    </row>
    <row r="754" spans="1:8" x14ac:dyDescent="0.25">
      <c r="A754" s="52">
        <f t="shared" si="11"/>
        <v>753</v>
      </c>
      <c r="B754" s="28" t="s">
        <v>1080</v>
      </c>
      <c r="C754" s="13" t="s">
        <v>1083</v>
      </c>
      <c r="D754" s="1" t="s">
        <v>1086</v>
      </c>
      <c r="E754" s="1" t="s">
        <v>78</v>
      </c>
      <c r="F754" s="8" t="s">
        <v>942</v>
      </c>
      <c r="G754" s="3" t="s">
        <v>30</v>
      </c>
      <c r="H754" s="52" t="s">
        <v>1126</v>
      </c>
    </row>
    <row r="755" spans="1:8" x14ac:dyDescent="0.25">
      <c r="A755" s="52">
        <f t="shared" si="11"/>
        <v>754</v>
      </c>
      <c r="B755" s="28" t="s">
        <v>1080</v>
      </c>
      <c r="C755" s="13" t="s">
        <v>1083</v>
      </c>
      <c r="D755" s="1" t="s">
        <v>1116</v>
      </c>
      <c r="E755" s="2" t="s">
        <v>259</v>
      </c>
      <c r="F755" s="19" t="s">
        <v>199</v>
      </c>
      <c r="G755" s="2" t="s">
        <v>30</v>
      </c>
      <c r="H755" s="54" t="s">
        <v>130</v>
      </c>
    </row>
    <row r="756" spans="1:8" x14ac:dyDescent="0.25">
      <c r="A756" s="52">
        <f t="shared" si="11"/>
        <v>755</v>
      </c>
      <c r="B756" s="28" t="s">
        <v>1080</v>
      </c>
      <c r="C756" s="13" t="s">
        <v>1083</v>
      </c>
      <c r="D756" s="1" t="s">
        <v>1116</v>
      </c>
      <c r="E756" s="13" t="s">
        <v>33</v>
      </c>
      <c r="F756" s="18" t="s">
        <v>69</v>
      </c>
      <c r="G756" s="2" t="s">
        <v>30</v>
      </c>
      <c r="H756" s="54" t="s">
        <v>114</v>
      </c>
    </row>
    <row r="757" spans="1:8" x14ac:dyDescent="0.25">
      <c r="A757" s="52">
        <f t="shared" si="11"/>
        <v>756</v>
      </c>
      <c r="B757" s="28" t="s">
        <v>1080</v>
      </c>
      <c r="C757" s="13" t="s">
        <v>1083</v>
      </c>
      <c r="D757" s="1" t="s">
        <v>1116</v>
      </c>
      <c r="E757" s="13" t="s">
        <v>197</v>
      </c>
      <c r="F757" s="18" t="s">
        <v>182</v>
      </c>
      <c r="G757" s="2" t="s">
        <v>30</v>
      </c>
      <c r="H757" t="s">
        <v>1123</v>
      </c>
    </row>
    <row r="758" spans="1:8" x14ac:dyDescent="0.25">
      <c r="A758" s="52">
        <f t="shared" si="11"/>
        <v>757</v>
      </c>
      <c r="B758" s="28" t="s">
        <v>1080</v>
      </c>
      <c r="C758" s="13" t="s">
        <v>1083</v>
      </c>
      <c r="D758" s="1" t="s">
        <v>1087</v>
      </c>
      <c r="E758" s="1" t="s">
        <v>32</v>
      </c>
      <c r="F758" s="18" t="s">
        <v>1067</v>
      </c>
      <c r="G758" s="3" t="s">
        <v>30</v>
      </c>
      <c r="H758" s="54" t="s">
        <v>108</v>
      </c>
    </row>
    <row r="759" spans="1:8" x14ac:dyDescent="0.25">
      <c r="A759" s="52">
        <f t="shared" si="11"/>
        <v>758</v>
      </c>
      <c r="B759" s="28" t="s">
        <v>1080</v>
      </c>
      <c r="C759" s="13" t="s">
        <v>1083</v>
      </c>
      <c r="D759" s="1" t="s">
        <v>1087</v>
      </c>
      <c r="E759" s="1" t="s">
        <v>33</v>
      </c>
      <c r="F759" s="8" t="s">
        <v>69</v>
      </c>
      <c r="G759" s="3" t="s">
        <v>30</v>
      </c>
      <c r="H759" s="54" t="s">
        <v>114</v>
      </c>
    </row>
    <row r="760" spans="1:8" x14ac:dyDescent="0.25">
      <c r="A760" s="52">
        <f t="shared" si="11"/>
        <v>759</v>
      </c>
      <c r="B760" s="28" t="s">
        <v>1080</v>
      </c>
      <c r="C760" s="13" t="s">
        <v>1083</v>
      </c>
      <c r="D760" s="1" t="s">
        <v>1087</v>
      </c>
      <c r="E760" s="1" t="s">
        <v>85</v>
      </c>
      <c r="F760" s="8" t="s">
        <v>88</v>
      </c>
      <c r="G760" s="3" t="s">
        <v>30</v>
      </c>
    </row>
    <row r="761" spans="1:8" x14ac:dyDescent="0.25">
      <c r="A761" s="52">
        <f t="shared" si="11"/>
        <v>760</v>
      </c>
      <c r="B761" s="28" t="s">
        <v>1080</v>
      </c>
      <c r="C761" s="13" t="s">
        <v>1083</v>
      </c>
      <c r="D761" s="1" t="s">
        <v>1087</v>
      </c>
      <c r="E761" s="1" t="s">
        <v>86</v>
      </c>
      <c r="F761" s="8" t="s">
        <v>89</v>
      </c>
      <c r="G761" s="3" t="s">
        <v>30</v>
      </c>
    </row>
    <row r="762" spans="1:8" x14ac:dyDescent="0.25">
      <c r="A762" s="52">
        <f t="shared" si="11"/>
        <v>761</v>
      </c>
      <c r="B762" s="28" t="s">
        <v>1080</v>
      </c>
      <c r="C762" s="13" t="s">
        <v>1083</v>
      </c>
      <c r="D762" s="1" t="s">
        <v>1087</v>
      </c>
      <c r="E762" s="1" t="s">
        <v>87</v>
      </c>
      <c r="F762" s="8" t="s">
        <v>90</v>
      </c>
      <c r="G762" s="3" t="s">
        <v>30</v>
      </c>
    </row>
    <row r="763" spans="1:8" x14ac:dyDescent="0.25">
      <c r="A763" s="52">
        <f t="shared" si="11"/>
        <v>762</v>
      </c>
      <c r="B763" s="28" t="s">
        <v>1080</v>
      </c>
      <c r="C763" s="13" t="s">
        <v>1083</v>
      </c>
      <c r="D763" s="1" t="s">
        <v>1088</v>
      </c>
      <c r="E763" s="1" t="s">
        <v>0</v>
      </c>
      <c r="F763" s="18" t="s">
        <v>1067</v>
      </c>
      <c r="G763" s="2" t="s">
        <v>30</v>
      </c>
      <c r="H763" s="54" t="s">
        <v>130</v>
      </c>
    </row>
    <row r="764" spans="1:8" x14ac:dyDescent="0.25">
      <c r="A764" s="52">
        <f t="shared" si="11"/>
        <v>763</v>
      </c>
      <c r="B764" s="28" t="s">
        <v>1080</v>
      </c>
      <c r="C764" s="13" t="s">
        <v>1083</v>
      </c>
      <c r="D764" s="1" t="s">
        <v>1088</v>
      </c>
      <c r="E764" s="1" t="s">
        <v>1</v>
      </c>
      <c r="F764" s="8" t="s">
        <v>17</v>
      </c>
      <c r="G764" s="3" t="s">
        <v>30</v>
      </c>
      <c r="H764" s="54" t="s">
        <v>108</v>
      </c>
    </row>
    <row r="765" spans="1:8" x14ac:dyDescent="0.25">
      <c r="A765" s="52">
        <f t="shared" si="11"/>
        <v>764</v>
      </c>
      <c r="B765" s="28" t="s">
        <v>1080</v>
      </c>
      <c r="C765" s="13" t="s">
        <v>1083</v>
      </c>
      <c r="D765" s="1" t="s">
        <v>1088</v>
      </c>
      <c r="E765" s="1" t="s">
        <v>33</v>
      </c>
      <c r="F765" s="8" t="s">
        <v>1072</v>
      </c>
      <c r="G765" s="2" t="s">
        <v>30</v>
      </c>
      <c r="H765" s="54" t="s">
        <v>114</v>
      </c>
    </row>
    <row r="766" spans="1:8" x14ac:dyDescent="0.25">
      <c r="A766" s="52">
        <f t="shared" si="11"/>
        <v>765</v>
      </c>
      <c r="B766" s="28" t="s">
        <v>1080</v>
      </c>
      <c r="C766" s="13" t="s">
        <v>1083</v>
      </c>
      <c r="D766" s="1" t="s">
        <v>1088</v>
      </c>
      <c r="E766" s="1" t="s">
        <v>0</v>
      </c>
      <c r="F766" s="8" t="s">
        <v>1038</v>
      </c>
      <c r="G766" s="2" t="s">
        <v>30</v>
      </c>
      <c r="H766" t="s">
        <v>1332</v>
      </c>
    </row>
    <row r="767" spans="1:8" x14ac:dyDescent="0.25">
      <c r="A767" s="52">
        <f t="shared" si="11"/>
        <v>766</v>
      </c>
      <c r="B767" s="28" t="s">
        <v>1080</v>
      </c>
      <c r="C767" s="13" t="s">
        <v>1083</v>
      </c>
      <c r="D767" s="1" t="s">
        <v>1088</v>
      </c>
      <c r="E767" s="1" t="s">
        <v>33</v>
      </c>
      <c r="F767" s="8" t="s">
        <v>1024</v>
      </c>
      <c r="G767" s="2" t="s">
        <v>30</v>
      </c>
      <c r="H767" t="s">
        <v>1329</v>
      </c>
    </row>
    <row r="768" spans="1:8" x14ac:dyDescent="0.25">
      <c r="A768" s="52">
        <f t="shared" si="11"/>
        <v>767</v>
      </c>
      <c r="B768" s="28" t="s">
        <v>1080</v>
      </c>
      <c r="C768" s="13" t="s">
        <v>1083</v>
      </c>
      <c r="D768" s="1" t="s">
        <v>1088</v>
      </c>
      <c r="E768" s="1" t="s">
        <v>40</v>
      </c>
      <c r="F768" s="8" t="s">
        <v>1026</v>
      </c>
      <c r="G768" s="2" t="s">
        <v>30</v>
      </c>
    </row>
    <row r="769" spans="1:16" ht="14.45" customHeight="1" x14ac:dyDescent="0.25">
      <c r="A769" s="52">
        <f t="shared" si="11"/>
        <v>768</v>
      </c>
      <c r="B769" s="28" t="s">
        <v>1080</v>
      </c>
      <c r="C769" s="13" t="s">
        <v>1083</v>
      </c>
      <c r="D769" s="1" t="s">
        <v>1088</v>
      </c>
      <c r="E769" s="1" t="s">
        <v>42</v>
      </c>
      <c r="F769" s="19" t="s">
        <v>1036</v>
      </c>
      <c r="G769" s="2" t="s">
        <v>30</v>
      </c>
      <c r="H769" t="s">
        <v>1330</v>
      </c>
    </row>
    <row r="770" spans="1:16" ht="14.45" customHeight="1" x14ac:dyDescent="0.25">
      <c r="A770" s="52">
        <f t="shared" si="11"/>
        <v>769</v>
      </c>
      <c r="B770" s="28" t="s">
        <v>1080</v>
      </c>
      <c r="C770" s="13" t="s">
        <v>1083</v>
      </c>
      <c r="D770" s="1" t="s">
        <v>1088</v>
      </c>
      <c r="E770" s="13" t="s">
        <v>49</v>
      </c>
      <c r="F770" s="8" t="s">
        <v>61</v>
      </c>
      <c r="G770" s="2" t="s">
        <v>30</v>
      </c>
      <c r="H770" t="s">
        <v>1331</v>
      </c>
    </row>
    <row r="771" spans="1:16" x14ac:dyDescent="0.25">
      <c r="A771" s="52">
        <f t="shared" si="11"/>
        <v>770</v>
      </c>
      <c r="B771" s="28" t="s">
        <v>1080</v>
      </c>
      <c r="C771" s="13" t="s">
        <v>1083</v>
      </c>
      <c r="D771" s="1" t="s">
        <v>1088</v>
      </c>
      <c r="E771" s="13" t="s">
        <v>1028</v>
      </c>
      <c r="F771" s="18" t="s">
        <v>1030</v>
      </c>
      <c r="G771" s="3" t="s">
        <v>30</v>
      </c>
      <c r="H771" s="54" t="s">
        <v>1318</v>
      </c>
    </row>
    <row r="772" spans="1:16" x14ac:dyDescent="0.25">
      <c r="A772" s="52">
        <f t="shared" ref="A772:A835" si="12">+A771+1</f>
        <v>771</v>
      </c>
      <c r="B772" s="28" t="s">
        <v>1080</v>
      </c>
      <c r="C772" s="13" t="s">
        <v>1083</v>
      </c>
      <c r="D772" s="1" t="s">
        <v>1088</v>
      </c>
      <c r="E772" s="13" t="s">
        <v>1029</v>
      </c>
      <c r="F772" s="18" t="s">
        <v>1031</v>
      </c>
      <c r="G772" s="3" t="s">
        <v>30</v>
      </c>
    </row>
    <row r="773" spans="1:16" x14ac:dyDescent="0.25">
      <c r="A773" s="52">
        <f t="shared" si="12"/>
        <v>772</v>
      </c>
      <c r="B773" s="28" t="s">
        <v>1080</v>
      </c>
      <c r="C773" s="13" t="s">
        <v>1083</v>
      </c>
      <c r="D773" s="1" t="s">
        <v>1089</v>
      </c>
      <c r="E773" s="1" t="s">
        <v>0</v>
      </c>
      <c r="F773" s="18" t="s">
        <v>1067</v>
      </c>
      <c r="G773" s="3" t="s">
        <v>30</v>
      </c>
      <c r="H773" s="54" t="s">
        <v>108</v>
      </c>
    </row>
    <row r="774" spans="1:16" x14ac:dyDescent="0.25">
      <c r="A774" s="52">
        <f t="shared" si="12"/>
        <v>773</v>
      </c>
      <c r="B774" s="28" t="s">
        <v>1080</v>
      </c>
      <c r="C774" s="13" t="s">
        <v>1083</v>
      </c>
      <c r="D774" s="1" t="s">
        <v>1089</v>
      </c>
      <c r="E774" s="12" t="s">
        <v>92</v>
      </c>
      <c r="F774" s="8" t="s">
        <v>1072</v>
      </c>
      <c r="G774" s="3" t="s">
        <v>30</v>
      </c>
    </row>
    <row r="775" spans="1:16" x14ac:dyDescent="0.25">
      <c r="A775" s="52">
        <f t="shared" si="12"/>
        <v>774</v>
      </c>
      <c r="B775" s="28" t="s">
        <v>1080</v>
      </c>
      <c r="C775" s="13" t="s">
        <v>1083</v>
      </c>
      <c r="D775" s="1" t="s">
        <v>1089</v>
      </c>
      <c r="E775" s="12" t="s">
        <v>93</v>
      </c>
      <c r="F775" s="8" t="s">
        <v>99</v>
      </c>
      <c r="G775" s="3" t="s">
        <v>30</v>
      </c>
    </row>
    <row r="776" spans="1:16" x14ac:dyDescent="0.25">
      <c r="A776" s="52">
        <f t="shared" si="12"/>
        <v>775</v>
      </c>
      <c r="B776" s="28" t="s">
        <v>1080</v>
      </c>
      <c r="C776" s="13" t="s">
        <v>1083</v>
      </c>
      <c r="D776" s="1" t="s">
        <v>1089</v>
      </c>
      <c r="E776" s="12" t="s">
        <v>94</v>
      </c>
      <c r="F776" s="8" t="s">
        <v>100</v>
      </c>
      <c r="G776" s="3" t="s">
        <v>30</v>
      </c>
    </row>
    <row r="777" spans="1:16" x14ac:dyDescent="0.25">
      <c r="A777" s="52">
        <f t="shared" si="12"/>
        <v>776</v>
      </c>
      <c r="B777" s="28" t="s">
        <v>1080</v>
      </c>
      <c r="C777" s="13" t="s">
        <v>1083</v>
      </c>
      <c r="D777" s="1" t="s">
        <v>1089</v>
      </c>
      <c r="E777" s="12" t="s">
        <v>95</v>
      </c>
      <c r="F777" s="8" t="s">
        <v>89</v>
      </c>
      <c r="G777" s="3" t="s">
        <v>30</v>
      </c>
    </row>
    <row r="778" spans="1:16" x14ac:dyDescent="0.25">
      <c r="A778" s="52">
        <f t="shared" si="12"/>
        <v>777</v>
      </c>
      <c r="B778" s="28" t="s">
        <v>1080</v>
      </c>
      <c r="C778" s="13" t="s">
        <v>1083</v>
      </c>
      <c r="D778" s="1" t="s">
        <v>1089</v>
      </c>
      <c r="E778" s="12" t="s">
        <v>96</v>
      </c>
      <c r="F778" s="8" t="s">
        <v>101</v>
      </c>
      <c r="G778" s="3" t="s">
        <v>30</v>
      </c>
    </row>
    <row r="779" spans="1:16" x14ac:dyDescent="0.25">
      <c r="A779" s="52">
        <f t="shared" si="12"/>
        <v>778</v>
      </c>
      <c r="B779" s="28" t="s">
        <v>1080</v>
      </c>
      <c r="C779" s="13" t="s">
        <v>1083</v>
      </c>
      <c r="D779" s="1" t="s">
        <v>1089</v>
      </c>
      <c r="E779" s="12" t="s">
        <v>97</v>
      </c>
      <c r="F779" s="8" t="s">
        <v>102</v>
      </c>
      <c r="G779" s="3" t="s">
        <v>30</v>
      </c>
    </row>
    <row r="780" spans="1:16" x14ac:dyDescent="0.25">
      <c r="A780" s="52">
        <f t="shared" si="12"/>
        <v>779</v>
      </c>
      <c r="B780" s="28" t="s">
        <v>1080</v>
      </c>
      <c r="C780" s="13" t="s">
        <v>1083</v>
      </c>
      <c r="D780" s="1" t="s">
        <v>1089</v>
      </c>
      <c r="E780" s="12" t="s">
        <v>98</v>
      </c>
      <c r="F780" s="8" t="s">
        <v>103</v>
      </c>
      <c r="G780" s="3" t="s">
        <v>30</v>
      </c>
    </row>
    <row r="781" spans="1:16" x14ac:dyDescent="0.25">
      <c r="A781" s="52">
        <f t="shared" si="12"/>
        <v>780</v>
      </c>
      <c r="B781" s="29" t="s">
        <v>1294</v>
      </c>
      <c r="C781" s="13" t="s">
        <v>1302</v>
      </c>
      <c r="D781" s="13" t="s">
        <v>1337</v>
      </c>
      <c r="E781" s="13" t="s">
        <v>0</v>
      </c>
      <c r="F781" s="18" t="s">
        <v>16</v>
      </c>
      <c r="G781" s="13" t="s">
        <v>30</v>
      </c>
      <c r="H781" s="53" t="s">
        <v>130</v>
      </c>
    </row>
    <row r="782" spans="1:16" x14ac:dyDescent="0.25">
      <c r="A782" s="52">
        <f t="shared" si="12"/>
        <v>781</v>
      </c>
      <c r="B782" s="29" t="s">
        <v>1294</v>
      </c>
      <c r="C782" s="13" t="s">
        <v>1302</v>
      </c>
      <c r="D782" s="13" t="s">
        <v>1337</v>
      </c>
      <c r="E782" s="2" t="s">
        <v>1</v>
      </c>
      <c r="F782" s="19" t="s">
        <v>17</v>
      </c>
      <c r="G782" s="13" t="s">
        <v>30</v>
      </c>
      <c r="H782" s="53" t="s">
        <v>108</v>
      </c>
      <c r="I782" t="s">
        <v>108</v>
      </c>
    </row>
    <row r="783" spans="1:16" x14ac:dyDescent="0.25">
      <c r="A783" s="52">
        <f t="shared" si="12"/>
        <v>782</v>
      </c>
      <c r="B783" s="29" t="s">
        <v>1294</v>
      </c>
      <c r="C783" s="13" t="s">
        <v>1302</v>
      </c>
      <c r="D783" s="13" t="s">
        <v>1337</v>
      </c>
      <c r="E783" s="1" t="s">
        <v>2</v>
      </c>
      <c r="F783" s="8" t="s">
        <v>1068</v>
      </c>
      <c r="G783" s="13" t="s">
        <v>30</v>
      </c>
      <c r="H783" s="53" t="s">
        <v>109</v>
      </c>
      <c r="I783" t="s">
        <v>385</v>
      </c>
    </row>
    <row r="784" spans="1:16" x14ac:dyDescent="0.25">
      <c r="A784" s="52">
        <f t="shared" si="12"/>
        <v>783</v>
      </c>
      <c r="B784" s="29" t="s">
        <v>1294</v>
      </c>
      <c r="C784" s="13" t="s">
        <v>1302</v>
      </c>
      <c r="D784" s="13" t="s">
        <v>1337</v>
      </c>
      <c r="E784" s="1" t="s">
        <v>3</v>
      </c>
      <c r="F784" s="8" t="s">
        <v>265</v>
      </c>
      <c r="G784" s="13" t="s">
        <v>30</v>
      </c>
      <c r="H784" s="53" t="s">
        <v>363</v>
      </c>
      <c r="I784" t="s">
        <v>363</v>
      </c>
      <c r="P784" s="82"/>
    </row>
    <row r="785" spans="1:16" x14ac:dyDescent="0.25">
      <c r="A785" s="52">
        <f t="shared" si="12"/>
        <v>784</v>
      </c>
      <c r="B785" s="29" t="s">
        <v>1294</v>
      </c>
      <c r="C785" s="13" t="s">
        <v>1302</v>
      </c>
      <c r="D785" s="13" t="s">
        <v>1337</v>
      </c>
      <c r="E785" s="1" t="s">
        <v>4</v>
      </c>
      <c r="F785" s="8" t="s">
        <v>20</v>
      </c>
      <c r="G785" s="13" t="s">
        <v>30</v>
      </c>
      <c r="H785" s="53" t="s">
        <v>110</v>
      </c>
      <c r="I785" t="s">
        <v>110</v>
      </c>
      <c r="P785" s="82"/>
    </row>
    <row r="786" spans="1:16" x14ac:dyDescent="0.25">
      <c r="A786" s="52">
        <f t="shared" si="12"/>
        <v>785</v>
      </c>
      <c r="B786" s="29" t="s">
        <v>1294</v>
      </c>
      <c r="C786" s="13" t="s">
        <v>1302</v>
      </c>
      <c r="D786" s="13" t="s">
        <v>1337</v>
      </c>
      <c r="E786" s="1" t="s">
        <v>5</v>
      </c>
      <c r="F786" s="8" t="s">
        <v>21</v>
      </c>
      <c r="G786" s="13" t="s">
        <v>30</v>
      </c>
      <c r="H786" s="53" t="s">
        <v>359</v>
      </c>
      <c r="I786" t="s">
        <v>359</v>
      </c>
      <c r="P786" s="82"/>
    </row>
    <row r="787" spans="1:16" x14ac:dyDescent="0.25">
      <c r="A787" s="52">
        <f t="shared" si="12"/>
        <v>786</v>
      </c>
      <c r="B787" s="29" t="s">
        <v>1294</v>
      </c>
      <c r="C787" s="13" t="s">
        <v>1302</v>
      </c>
      <c r="D787" s="13" t="s">
        <v>1337</v>
      </c>
      <c r="E787" s="1" t="s">
        <v>6</v>
      </c>
      <c r="F787" s="8" t="s">
        <v>943</v>
      </c>
      <c r="G787" s="13" t="s">
        <v>30</v>
      </c>
      <c r="H787" s="54" t="s">
        <v>1137</v>
      </c>
      <c r="I787" t="s">
        <v>364</v>
      </c>
      <c r="P787" s="82"/>
    </row>
    <row r="788" spans="1:16" x14ac:dyDescent="0.25">
      <c r="A788" s="52">
        <f t="shared" si="12"/>
        <v>787</v>
      </c>
      <c r="B788" s="29" t="s">
        <v>1294</v>
      </c>
      <c r="C788" s="13" t="s">
        <v>1302</v>
      </c>
      <c r="D788" s="13" t="s">
        <v>1337</v>
      </c>
      <c r="E788" s="1" t="s">
        <v>7</v>
      </c>
      <c r="F788" s="8" t="s">
        <v>23</v>
      </c>
      <c r="G788" s="13" t="s">
        <v>30</v>
      </c>
      <c r="H788" s="53" t="s">
        <v>360</v>
      </c>
      <c r="I788" t="s">
        <v>360</v>
      </c>
      <c r="P788" s="82"/>
    </row>
    <row r="789" spans="1:16" x14ac:dyDescent="0.25">
      <c r="A789" s="52">
        <f t="shared" si="12"/>
        <v>788</v>
      </c>
      <c r="B789" s="29" t="s">
        <v>1294</v>
      </c>
      <c r="C789" s="13" t="s">
        <v>1302</v>
      </c>
      <c r="D789" s="13" t="s">
        <v>1337</v>
      </c>
      <c r="E789" s="1" t="s">
        <v>8</v>
      </c>
      <c r="F789" s="8" t="s">
        <v>24</v>
      </c>
      <c r="G789" s="13" t="s">
        <v>30</v>
      </c>
      <c r="H789" s="53" t="s">
        <v>111</v>
      </c>
      <c r="I789" t="s">
        <v>386</v>
      </c>
      <c r="P789" s="82"/>
    </row>
    <row r="790" spans="1:16" x14ac:dyDescent="0.25">
      <c r="A790" s="52">
        <f t="shared" si="12"/>
        <v>789</v>
      </c>
      <c r="B790" s="29" t="s">
        <v>1294</v>
      </c>
      <c r="C790" s="13" t="s">
        <v>1302</v>
      </c>
      <c r="D790" s="13" t="s">
        <v>1337</v>
      </c>
      <c r="E790" s="1" t="s">
        <v>9</v>
      </c>
      <c r="F790" s="8" t="s">
        <v>944</v>
      </c>
      <c r="G790" s="13" t="s">
        <v>30</v>
      </c>
      <c r="H790" s="52" t="s">
        <v>400</v>
      </c>
      <c r="I790" t="s">
        <v>400</v>
      </c>
      <c r="P790" s="82"/>
    </row>
    <row r="791" spans="1:16" x14ac:dyDescent="0.25">
      <c r="A791" s="52">
        <f t="shared" si="12"/>
        <v>790</v>
      </c>
      <c r="B791" s="29" t="s">
        <v>1294</v>
      </c>
      <c r="C791" s="13" t="s">
        <v>1302</v>
      </c>
      <c r="D791" s="13" t="s">
        <v>1337</v>
      </c>
      <c r="E791" s="1" t="s">
        <v>10</v>
      </c>
      <c r="F791" s="8" t="s">
        <v>1069</v>
      </c>
      <c r="G791" s="13" t="s">
        <v>30</v>
      </c>
      <c r="H791" s="53" t="s">
        <v>112</v>
      </c>
      <c r="I791" t="s">
        <v>112</v>
      </c>
      <c r="P791" s="82"/>
    </row>
    <row r="792" spans="1:16" ht="25.5" x14ac:dyDescent="0.25">
      <c r="A792" s="52">
        <f t="shared" si="12"/>
        <v>791</v>
      </c>
      <c r="B792" s="29" t="s">
        <v>1294</v>
      </c>
      <c r="C792" s="13" t="s">
        <v>1302</v>
      </c>
      <c r="D792" s="13" t="s">
        <v>1337</v>
      </c>
      <c r="E792" s="2" t="s">
        <v>275</v>
      </c>
      <c r="F792" s="19" t="s">
        <v>277</v>
      </c>
      <c r="G792" s="13" t="s">
        <v>30</v>
      </c>
      <c r="H792" s="54" t="s">
        <v>361</v>
      </c>
      <c r="I792" t="s">
        <v>361</v>
      </c>
      <c r="P792" s="82"/>
    </row>
    <row r="793" spans="1:16" ht="25.5" x14ac:dyDescent="0.25">
      <c r="A793" s="52">
        <f t="shared" si="12"/>
        <v>792</v>
      </c>
      <c r="B793" s="29" t="s">
        <v>1294</v>
      </c>
      <c r="C793" s="13" t="s">
        <v>1302</v>
      </c>
      <c r="D793" s="13" t="s">
        <v>1337</v>
      </c>
      <c r="E793" s="2" t="s">
        <v>12</v>
      </c>
      <c r="F793" s="19" t="s">
        <v>278</v>
      </c>
      <c r="G793" s="13" t="s">
        <v>30</v>
      </c>
      <c r="H793" s="54" t="s">
        <v>362</v>
      </c>
      <c r="I793" t="s">
        <v>362</v>
      </c>
      <c r="P793" s="82"/>
    </row>
    <row r="794" spans="1:16" x14ac:dyDescent="0.25">
      <c r="A794" s="52">
        <f t="shared" si="12"/>
        <v>793</v>
      </c>
      <c r="B794" s="29" t="s">
        <v>1294</v>
      </c>
      <c r="C794" s="13" t="s">
        <v>1302</v>
      </c>
      <c r="D794" s="13" t="s">
        <v>1337</v>
      </c>
      <c r="E794" s="2" t="s">
        <v>13</v>
      </c>
      <c r="F794" s="19" t="s">
        <v>280</v>
      </c>
      <c r="G794" s="13" t="s">
        <v>30</v>
      </c>
      <c r="H794" s="53" t="s">
        <v>844</v>
      </c>
      <c r="I794" t="s">
        <v>388</v>
      </c>
      <c r="P794" s="82"/>
    </row>
    <row r="795" spans="1:16" x14ac:dyDescent="0.25">
      <c r="A795" s="52">
        <f t="shared" si="12"/>
        <v>794</v>
      </c>
      <c r="B795" s="29" t="s">
        <v>1294</v>
      </c>
      <c r="C795" s="13" t="s">
        <v>1302</v>
      </c>
      <c r="D795" s="13" t="s">
        <v>1337</v>
      </c>
      <c r="E795" s="2" t="s">
        <v>14</v>
      </c>
      <c r="F795" s="19" t="s">
        <v>1304</v>
      </c>
      <c r="G795" s="13" t="s">
        <v>30</v>
      </c>
      <c r="H795" s="53" t="s">
        <v>387</v>
      </c>
      <c r="I795" t="s">
        <v>387</v>
      </c>
      <c r="P795" s="82"/>
    </row>
    <row r="796" spans="1:16" x14ac:dyDescent="0.25">
      <c r="A796" s="52">
        <f t="shared" si="12"/>
        <v>795</v>
      </c>
      <c r="B796" s="29" t="s">
        <v>1294</v>
      </c>
      <c r="C796" s="13" t="s">
        <v>1302</v>
      </c>
      <c r="D796" s="13" t="s">
        <v>1337</v>
      </c>
      <c r="E796" s="13" t="s">
        <v>15</v>
      </c>
      <c r="F796" s="18" t="s">
        <v>28</v>
      </c>
      <c r="G796" s="13" t="s">
        <v>30</v>
      </c>
      <c r="H796" s="53" t="s">
        <v>845</v>
      </c>
      <c r="I796" t="s">
        <v>366</v>
      </c>
      <c r="P796" s="82"/>
    </row>
    <row r="797" spans="1:16" ht="25.5" x14ac:dyDescent="0.25">
      <c r="A797" s="52">
        <f t="shared" si="12"/>
        <v>796</v>
      </c>
      <c r="B797" s="29" t="s">
        <v>1294</v>
      </c>
      <c r="C797" s="13" t="s">
        <v>1302</v>
      </c>
      <c r="D797" s="13" t="s">
        <v>1337</v>
      </c>
      <c r="E797" s="1" t="s">
        <v>279</v>
      </c>
      <c r="F797" s="8" t="s">
        <v>949</v>
      </c>
      <c r="G797" s="13" t="s">
        <v>30</v>
      </c>
      <c r="H797" s="54" t="s">
        <v>950</v>
      </c>
      <c r="P797" s="82"/>
    </row>
    <row r="798" spans="1:16" x14ac:dyDescent="0.25">
      <c r="A798" s="52">
        <f t="shared" si="12"/>
        <v>797</v>
      </c>
      <c r="B798" s="29" t="s">
        <v>1294</v>
      </c>
      <c r="C798" s="13" t="s">
        <v>1302</v>
      </c>
      <c r="D798" s="13" t="s">
        <v>1337</v>
      </c>
      <c r="E798" s="1"/>
      <c r="F798" s="8" t="s">
        <v>29</v>
      </c>
      <c r="G798" s="2" t="s">
        <v>31</v>
      </c>
      <c r="H798" s="54" t="s">
        <v>132</v>
      </c>
      <c r="P798" s="82"/>
    </row>
    <row r="799" spans="1:16" x14ac:dyDescent="0.25">
      <c r="A799" s="52">
        <f t="shared" si="12"/>
        <v>798</v>
      </c>
      <c r="B799" s="29" t="s">
        <v>1294</v>
      </c>
      <c r="C799" s="13" t="s">
        <v>1302</v>
      </c>
      <c r="D799" s="13" t="s">
        <v>1338</v>
      </c>
      <c r="E799" s="1" t="s">
        <v>32</v>
      </c>
      <c r="F799" s="18" t="s">
        <v>16</v>
      </c>
      <c r="G799" s="13" t="s">
        <v>30</v>
      </c>
      <c r="H799" s="53" t="s">
        <v>130</v>
      </c>
      <c r="I799" t="s">
        <v>108</v>
      </c>
      <c r="P799" s="82"/>
    </row>
    <row r="800" spans="1:16" x14ac:dyDescent="0.25">
      <c r="A800" s="52">
        <f t="shared" si="12"/>
        <v>799</v>
      </c>
      <c r="B800" s="29" t="s">
        <v>1294</v>
      </c>
      <c r="C800" s="13" t="s">
        <v>1302</v>
      </c>
      <c r="D800" s="13" t="s">
        <v>1338</v>
      </c>
      <c r="E800" s="2" t="s">
        <v>1</v>
      </c>
      <c r="F800" s="19" t="s">
        <v>17</v>
      </c>
      <c r="G800" s="13" t="s">
        <v>30</v>
      </c>
      <c r="H800" s="53" t="s">
        <v>108</v>
      </c>
      <c r="I800" t="s">
        <v>114</v>
      </c>
      <c r="P800" s="82"/>
    </row>
    <row r="801" spans="1:16" x14ac:dyDescent="0.25">
      <c r="A801" s="52">
        <f t="shared" si="12"/>
        <v>800</v>
      </c>
      <c r="B801" s="29" t="s">
        <v>1294</v>
      </c>
      <c r="C801" s="13" t="s">
        <v>1302</v>
      </c>
      <c r="D801" s="13" t="s">
        <v>1338</v>
      </c>
      <c r="E801" s="1" t="s">
        <v>33</v>
      </c>
      <c r="F801" s="8" t="s">
        <v>1305</v>
      </c>
      <c r="G801" s="13" t="s">
        <v>30</v>
      </c>
      <c r="H801" s="53" t="s">
        <v>114</v>
      </c>
      <c r="I801" t="s">
        <v>128</v>
      </c>
      <c r="P801" s="82"/>
    </row>
    <row r="802" spans="1:16" x14ac:dyDescent="0.25">
      <c r="A802" s="52">
        <f t="shared" si="12"/>
        <v>801</v>
      </c>
      <c r="B802" s="29" t="s">
        <v>1294</v>
      </c>
      <c r="C802" s="13" t="s">
        <v>1302</v>
      </c>
      <c r="D802" s="13" t="s">
        <v>1338</v>
      </c>
      <c r="E802" s="1" t="s">
        <v>34</v>
      </c>
      <c r="F802" s="8" t="s">
        <v>1306</v>
      </c>
      <c r="G802" s="13" t="s">
        <v>30</v>
      </c>
      <c r="H802" s="53" t="s">
        <v>128</v>
      </c>
      <c r="I802" t="s">
        <v>367</v>
      </c>
      <c r="P802" s="82"/>
    </row>
    <row r="803" spans="1:16" x14ac:dyDescent="0.25">
      <c r="A803" s="52">
        <f t="shared" si="12"/>
        <v>802</v>
      </c>
      <c r="B803" s="29" t="s">
        <v>1294</v>
      </c>
      <c r="C803" s="13" t="s">
        <v>1302</v>
      </c>
      <c r="D803" s="13" t="s">
        <v>1338</v>
      </c>
      <c r="E803" s="1" t="s">
        <v>35</v>
      </c>
      <c r="F803" s="8" t="s">
        <v>205</v>
      </c>
      <c r="G803" s="13" t="s">
        <v>30</v>
      </c>
      <c r="H803" s="53" t="s">
        <v>368</v>
      </c>
      <c r="I803" t="s">
        <v>115</v>
      </c>
      <c r="P803" s="82"/>
    </row>
    <row r="804" spans="1:16" x14ac:dyDescent="0.25">
      <c r="A804" s="52">
        <f t="shared" si="12"/>
        <v>803</v>
      </c>
      <c r="B804" s="29" t="s">
        <v>1294</v>
      </c>
      <c r="C804" s="13" t="s">
        <v>1302</v>
      </c>
      <c r="D804" s="13" t="s">
        <v>1338</v>
      </c>
      <c r="E804" s="1" t="s">
        <v>36</v>
      </c>
      <c r="F804" s="8" t="s">
        <v>1307</v>
      </c>
      <c r="G804" s="13" t="s">
        <v>30</v>
      </c>
      <c r="H804" s="53" t="s">
        <v>115</v>
      </c>
      <c r="I804" t="s">
        <v>400</v>
      </c>
      <c r="P804" s="82"/>
    </row>
    <row r="805" spans="1:16" x14ac:dyDescent="0.25">
      <c r="A805" s="52">
        <f t="shared" si="12"/>
        <v>804</v>
      </c>
      <c r="B805" s="29" t="s">
        <v>1294</v>
      </c>
      <c r="C805" s="13" t="s">
        <v>1302</v>
      </c>
      <c r="D805" s="13" t="s">
        <v>1338</v>
      </c>
      <c r="E805" s="1" t="s">
        <v>37</v>
      </c>
      <c r="F805" s="8" t="s">
        <v>1308</v>
      </c>
      <c r="G805" s="13" t="s">
        <v>30</v>
      </c>
      <c r="H805" s="52" t="s">
        <v>400</v>
      </c>
      <c r="I805" t="s">
        <v>116</v>
      </c>
      <c r="P805" s="82"/>
    </row>
    <row r="806" spans="1:16" x14ac:dyDescent="0.25">
      <c r="A806" s="52">
        <f t="shared" si="12"/>
        <v>805</v>
      </c>
      <c r="B806" s="29" t="s">
        <v>1294</v>
      </c>
      <c r="C806" s="13" t="s">
        <v>1302</v>
      </c>
      <c r="D806" s="13" t="s">
        <v>1338</v>
      </c>
      <c r="E806" s="1" t="s">
        <v>38</v>
      </c>
      <c r="F806" s="8" t="s">
        <v>54</v>
      </c>
      <c r="G806" s="13" t="s">
        <v>30</v>
      </c>
      <c r="H806" s="53" t="s">
        <v>116</v>
      </c>
      <c r="I806" t="s">
        <v>117</v>
      </c>
      <c r="P806" s="82"/>
    </row>
    <row r="807" spans="1:16" x14ac:dyDescent="0.25">
      <c r="A807" s="52">
        <f t="shared" si="12"/>
        <v>806</v>
      </c>
      <c r="B807" s="29" t="s">
        <v>1294</v>
      </c>
      <c r="C807" s="13" t="s">
        <v>1302</v>
      </c>
      <c r="D807" s="13" t="s">
        <v>1338</v>
      </c>
      <c r="E807" s="1" t="s">
        <v>39</v>
      </c>
      <c r="F807" s="20" t="s">
        <v>55</v>
      </c>
      <c r="G807" s="13" t="s">
        <v>30</v>
      </c>
      <c r="H807" s="53" t="s">
        <v>117</v>
      </c>
      <c r="I807" t="s">
        <v>118</v>
      </c>
      <c r="P807" s="82"/>
    </row>
    <row r="808" spans="1:16" x14ac:dyDescent="0.25">
      <c r="A808" s="52">
        <f t="shared" si="12"/>
        <v>807</v>
      </c>
      <c r="B808" s="29" t="s">
        <v>1294</v>
      </c>
      <c r="C808" s="13" t="s">
        <v>1302</v>
      </c>
      <c r="D808" s="13" t="s">
        <v>1338</v>
      </c>
      <c r="E808" s="5" t="s">
        <v>40</v>
      </c>
      <c r="F808" s="20" t="s">
        <v>1309</v>
      </c>
      <c r="G808" s="13" t="s">
        <v>30</v>
      </c>
      <c r="H808" s="54" t="s">
        <v>118</v>
      </c>
      <c r="P808" s="82"/>
    </row>
    <row r="809" spans="1:16" x14ac:dyDescent="0.25">
      <c r="A809" s="52">
        <f t="shared" si="12"/>
        <v>808</v>
      </c>
      <c r="B809" s="29" t="s">
        <v>1294</v>
      </c>
      <c r="C809" s="13" t="s">
        <v>1302</v>
      </c>
      <c r="D809" s="13" t="s">
        <v>1338</v>
      </c>
      <c r="E809" s="5" t="s">
        <v>41</v>
      </c>
      <c r="F809" s="20" t="s">
        <v>57</v>
      </c>
      <c r="G809" s="13" t="s">
        <v>30</v>
      </c>
      <c r="H809" s="54" t="s">
        <v>898</v>
      </c>
      <c r="I809" t="s">
        <v>119</v>
      </c>
      <c r="P809" s="82"/>
    </row>
    <row r="810" spans="1:16" x14ac:dyDescent="0.25">
      <c r="A810" s="52">
        <f t="shared" si="12"/>
        <v>809</v>
      </c>
      <c r="B810" s="29" t="s">
        <v>1294</v>
      </c>
      <c r="C810" s="13" t="s">
        <v>1302</v>
      </c>
      <c r="D810" s="13" t="s">
        <v>1338</v>
      </c>
      <c r="E810" s="1" t="s">
        <v>42</v>
      </c>
      <c r="F810" s="8" t="s">
        <v>58</v>
      </c>
      <c r="G810" s="13" t="s">
        <v>30</v>
      </c>
      <c r="H810" s="53" t="s">
        <v>119</v>
      </c>
      <c r="I810" t="s">
        <v>120</v>
      </c>
      <c r="P810" s="82"/>
    </row>
    <row r="811" spans="1:16" x14ac:dyDescent="0.25">
      <c r="A811" s="52">
        <f t="shared" si="12"/>
        <v>810</v>
      </c>
      <c r="B811" s="29" t="s">
        <v>1294</v>
      </c>
      <c r="C811" s="13" t="s">
        <v>1302</v>
      </c>
      <c r="D811" s="13" t="s">
        <v>1338</v>
      </c>
      <c r="E811" s="1" t="s">
        <v>43</v>
      </c>
      <c r="F811" s="8" t="s">
        <v>59</v>
      </c>
      <c r="G811" s="13" t="s">
        <v>30</v>
      </c>
      <c r="H811" s="53" t="s">
        <v>120</v>
      </c>
      <c r="I811" t="s">
        <v>121</v>
      </c>
      <c r="P811" s="82"/>
    </row>
    <row r="812" spans="1:16" x14ac:dyDescent="0.25">
      <c r="A812" s="52">
        <f t="shared" si="12"/>
        <v>811</v>
      </c>
      <c r="B812" s="29" t="s">
        <v>1294</v>
      </c>
      <c r="C812" s="13" t="s">
        <v>1302</v>
      </c>
      <c r="D812" s="13" t="s">
        <v>1338</v>
      </c>
      <c r="E812" s="1" t="s">
        <v>44</v>
      </c>
      <c r="F812" s="8" t="s">
        <v>60</v>
      </c>
      <c r="G812" s="13" t="s">
        <v>30</v>
      </c>
      <c r="H812" s="53" t="s">
        <v>404</v>
      </c>
      <c r="I812" t="s">
        <v>129</v>
      </c>
      <c r="P812" s="82"/>
    </row>
    <row r="813" spans="1:16" x14ac:dyDescent="0.25">
      <c r="A813" s="52">
        <f t="shared" si="12"/>
        <v>812</v>
      </c>
      <c r="B813" s="29" t="s">
        <v>1294</v>
      </c>
      <c r="C813" s="13" t="s">
        <v>1302</v>
      </c>
      <c r="D813" s="13" t="s">
        <v>1338</v>
      </c>
      <c r="E813" s="1" t="s">
        <v>45</v>
      </c>
      <c r="F813" s="8" t="s">
        <v>213</v>
      </c>
      <c r="G813" s="13" t="s">
        <v>30</v>
      </c>
      <c r="H813" s="53" t="s">
        <v>129</v>
      </c>
      <c r="I813" t="s">
        <v>122</v>
      </c>
      <c r="P813" s="82"/>
    </row>
    <row r="814" spans="1:16" x14ac:dyDescent="0.25">
      <c r="A814" s="52">
        <f t="shared" si="12"/>
        <v>813</v>
      </c>
      <c r="B814" s="29" t="s">
        <v>1294</v>
      </c>
      <c r="C814" s="13" t="s">
        <v>1302</v>
      </c>
      <c r="D814" s="13" t="s">
        <v>1338</v>
      </c>
      <c r="E814" s="6" t="s">
        <v>46</v>
      </c>
      <c r="F814" s="21" t="s">
        <v>62</v>
      </c>
      <c r="G814" s="13" t="s">
        <v>30</v>
      </c>
      <c r="H814" s="53" t="s">
        <v>122</v>
      </c>
      <c r="I814" t="s">
        <v>364</v>
      </c>
      <c r="P814" s="82"/>
    </row>
    <row r="815" spans="1:16" x14ac:dyDescent="0.25">
      <c r="A815" s="52">
        <f t="shared" si="12"/>
        <v>814</v>
      </c>
      <c r="B815" s="29" t="s">
        <v>1294</v>
      </c>
      <c r="C815" s="13" t="s">
        <v>1302</v>
      </c>
      <c r="D815" s="13" t="s">
        <v>1338</v>
      </c>
      <c r="E815" s="1" t="s">
        <v>47</v>
      </c>
      <c r="F815" s="8" t="s">
        <v>952</v>
      </c>
      <c r="G815" s="13" t="s">
        <v>30</v>
      </c>
      <c r="H815" s="54" t="s">
        <v>1137</v>
      </c>
      <c r="I815" t="s">
        <v>389</v>
      </c>
      <c r="P815" s="82"/>
    </row>
    <row r="816" spans="1:16" x14ac:dyDescent="0.25">
      <c r="A816" s="52">
        <f t="shared" si="12"/>
        <v>815</v>
      </c>
      <c r="B816" s="29" t="s">
        <v>1294</v>
      </c>
      <c r="C816" s="13" t="s">
        <v>1302</v>
      </c>
      <c r="D816" s="13" t="s">
        <v>1338</v>
      </c>
      <c r="E816" s="1" t="s">
        <v>48</v>
      </c>
      <c r="F816" s="8" t="s">
        <v>225</v>
      </c>
      <c r="G816" s="13" t="s">
        <v>30</v>
      </c>
      <c r="H816" s="54" t="s">
        <v>1120</v>
      </c>
      <c r="I816" t="s">
        <v>390</v>
      </c>
      <c r="P816" s="82"/>
    </row>
    <row r="817" spans="1:16" x14ac:dyDescent="0.25">
      <c r="A817" s="52">
        <f t="shared" si="12"/>
        <v>816</v>
      </c>
      <c r="B817" s="29" t="s">
        <v>1294</v>
      </c>
      <c r="C817" s="13" t="s">
        <v>1302</v>
      </c>
      <c r="D817" s="13" t="s">
        <v>1338</v>
      </c>
      <c r="E817" s="1" t="s">
        <v>49</v>
      </c>
      <c r="F817" s="8" t="s">
        <v>167</v>
      </c>
      <c r="G817" s="13" t="s">
        <v>30</v>
      </c>
      <c r="H817" s="53" t="s">
        <v>1049</v>
      </c>
      <c r="I817" t="s">
        <v>391</v>
      </c>
      <c r="P817" s="82"/>
    </row>
    <row r="818" spans="1:16" x14ac:dyDescent="0.25">
      <c r="A818" s="52">
        <f t="shared" si="12"/>
        <v>817</v>
      </c>
      <c r="B818" s="29" t="s">
        <v>1294</v>
      </c>
      <c r="C818" s="13" t="s">
        <v>1302</v>
      </c>
      <c r="D818" s="13" t="s">
        <v>1338</v>
      </c>
      <c r="E818" s="1" t="s">
        <v>50</v>
      </c>
      <c r="F818" s="8" t="s">
        <v>1310</v>
      </c>
      <c r="G818" s="13" t="s">
        <v>30</v>
      </c>
      <c r="H818" s="53" t="s">
        <v>391</v>
      </c>
      <c r="I818" t="s">
        <v>392</v>
      </c>
      <c r="P818" s="82"/>
    </row>
    <row r="819" spans="1:16" x14ac:dyDescent="0.25">
      <c r="A819" s="52">
        <f t="shared" si="12"/>
        <v>818</v>
      </c>
      <c r="B819" s="29" t="s">
        <v>1294</v>
      </c>
      <c r="C819" s="13" t="s">
        <v>1302</v>
      </c>
      <c r="D819" s="13" t="s">
        <v>1338</v>
      </c>
      <c r="E819" s="1" t="s">
        <v>51</v>
      </c>
      <c r="F819" s="8" t="s">
        <v>1311</v>
      </c>
      <c r="G819" s="13" t="s">
        <v>30</v>
      </c>
      <c r="H819" s="53" t="s">
        <v>392</v>
      </c>
      <c r="P819" s="82"/>
    </row>
    <row r="820" spans="1:16" x14ac:dyDescent="0.25">
      <c r="A820" s="52">
        <f t="shared" si="12"/>
        <v>819</v>
      </c>
      <c r="B820" s="29" t="s">
        <v>1294</v>
      </c>
      <c r="C820" s="13" t="s">
        <v>1302</v>
      </c>
      <c r="D820" s="13" t="s">
        <v>1338</v>
      </c>
      <c r="E820" s="1" t="s">
        <v>224</v>
      </c>
      <c r="F820" s="8" t="s">
        <v>1312</v>
      </c>
      <c r="G820" s="13" t="s">
        <v>30</v>
      </c>
      <c r="H820" s="53" t="s">
        <v>1343</v>
      </c>
      <c r="P820" s="82"/>
    </row>
    <row r="821" spans="1:16" x14ac:dyDescent="0.25">
      <c r="A821" s="52">
        <f t="shared" si="12"/>
        <v>820</v>
      </c>
      <c r="B821" s="29" t="s">
        <v>1294</v>
      </c>
      <c r="C821" s="13" t="s">
        <v>1302</v>
      </c>
      <c r="D821" s="13" t="s">
        <v>1338</v>
      </c>
      <c r="E821" s="1" t="s">
        <v>228</v>
      </c>
      <c r="F821" s="8" t="s">
        <v>1313</v>
      </c>
      <c r="G821" s="13" t="s">
        <v>30</v>
      </c>
      <c r="H821" s="54" t="s">
        <v>406</v>
      </c>
      <c r="P821" s="82"/>
    </row>
    <row r="822" spans="1:16" x14ac:dyDescent="0.25">
      <c r="A822" s="52">
        <f t="shared" si="12"/>
        <v>821</v>
      </c>
      <c r="B822" s="29" t="s">
        <v>1294</v>
      </c>
      <c r="C822" s="13" t="s">
        <v>1302</v>
      </c>
      <c r="D822" s="13" t="s">
        <v>1338</v>
      </c>
      <c r="E822" s="1" t="s">
        <v>231</v>
      </c>
      <c r="F822" s="8" t="s">
        <v>1314</v>
      </c>
      <c r="G822" s="13" t="s">
        <v>68</v>
      </c>
      <c r="H822" s="53" t="s">
        <v>1316</v>
      </c>
      <c r="P822" s="82"/>
    </row>
    <row r="823" spans="1:16" x14ac:dyDescent="0.25">
      <c r="A823" s="52">
        <f t="shared" si="12"/>
        <v>822</v>
      </c>
      <c r="B823" s="29" t="s">
        <v>1294</v>
      </c>
      <c r="C823" s="13" t="s">
        <v>1302</v>
      </c>
      <c r="D823" s="13" t="s">
        <v>1338</v>
      </c>
      <c r="E823" s="1" t="s">
        <v>940</v>
      </c>
      <c r="F823" s="8" t="s">
        <v>1315</v>
      </c>
      <c r="G823" s="13" t="s">
        <v>30</v>
      </c>
      <c r="H823" s="53" t="s">
        <v>1317</v>
      </c>
      <c r="P823" s="82"/>
    </row>
    <row r="824" spans="1:16" x14ac:dyDescent="0.25">
      <c r="A824" s="52">
        <f t="shared" si="12"/>
        <v>823</v>
      </c>
      <c r="B824" s="29" t="s">
        <v>1294</v>
      </c>
      <c r="C824" s="13" t="s">
        <v>1302</v>
      </c>
      <c r="D824" s="13" t="s">
        <v>1338</v>
      </c>
      <c r="E824" s="1"/>
      <c r="F824" s="19" t="s">
        <v>29</v>
      </c>
      <c r="G824" s="2" t="s">
        <v>31</v>
      </c>
      <c r="H824" s="54" t="s">
        <v>132</v>
      </c>
      <c r="P824" s="82"/>
    </row>
    <row r="825" spans="1:16" x14ac:dyDescent="0.25">
      <c r="A825" s="52">
        <f t="shared" si="12"/>
        <v>824</v>
      </c>
      <c r="B825" s="29" t="s">
        <v>1294</v>
      </c>
      <c r="C825" s="13" t="s">
        <v>1302</v>
      </c>
      <c r="D825" s="13" t="s">
        <v>1339</v>
      </c>
      <c r="E825" s="1" t="s">
        <v>32</v>
      </c>
      <c r="F825" s="18" t="s">
        <v>16</v>
      </c>
      <c r="G825" s="13" t="s">
        <v>30</v>
      </c>
      <c r="H825" s="53" t="s">
        <v>130</v>
      </c>
      <c r="P825" s="82"/>
    </row>
    <row r="826" spans="1:16" x14ac:dyDescent="0.25">
      <c r="A826" s="52">
        <f t="shared" si="12"/>
        <v>825</v>
      </c>
      <c r="B826" s="29" t="s">
        <v>1294</v>
      </c>
      <c r="C826" s="13" t="s">
        <v>1302</v>
      </c>
      <c r="D826" s="13" t="s">
        <v>1339</v>
      </c>
      <c r="E826" s="2" t="s">
        <v>1</v>
      </c>
      <c r="F826" s="18" t="s">
        <v>17</v>
      </c>
      <c r="G826" s="13" t="s">
        <v>30</v>
      </c>
      <c r="H826" s="53" t="s">
        <v>108</v>
      </c>
      <c r="I826" t="s">
        <v>108</v>
      </c>
      <c r="P826" s="82"/>
    </row>
    <row r="827" spans="1:16" x14ac:dyDescent="0.25">
      <c r="A827" s="52">
        <f t="shared" si="12"/>
        <v>826</v>
      </c>
      <c r="B827" s="29" t="s">
        <v>1294</v>
      </c>
      <c r="C827" s="13" t="s">
        <v>1302</v>
      </c>
      <c r="D827" s="13" t="s">
        <v>1339</v>
      </c>
      <c r="E827" s="1" t="s">
        <v>33</v>
      </c>
      <c r="F827" s="18" t="s">
        <v>69</v>
      </c>
      <c r="G827" s="13" t="s">
        <v>30</v>
      </c>
      <c r="H827" s="53" t="s">
        <v>114</v>
      </c>
      <c r="I827" t="s">
        <v>114</v>
      </c>
      <c r="P827" s="82"/>
    </row>
    <row r="828" spans="1:16" x14ac:dyDescent="0.25">
      <c r="A828" s="52">
        <f t="shared" si="12"/>
        <v>827</v>
      </c>
      <c r="B828" s="29" t="s">
        <v>1294</v>
      </c>
      <c r="C828" s="13" t="s">
        <v>1302</v>
      </c>
      <c r="D828" s="13" t="s">
        <v>1339</v>
      </c>
      <c r="E828" s="1" t="s">
        <v>70</v>
      </c>
      <c r="F828" s="18" t="s">
        <v>71</v>
      </c>
      <c r="G828" s="13" t="s">
        <v>30</v>
      </c>
      <c r="H828" s="54" t="s">
        <v>131</v>
      </c>
      <c r="I828" t="s">
        <v>131</v>
      </c>
      <c r="P828" s="82"/>
    </row>
    <row r="829" spans="1:16" x14ac:dyDescent="0.25">
      <c r="A829" s="52">
        <f t="shared" si="12"/>
        <v>828</v>
      </c>
      <c r="B829" s="29" t="s">
        <v>1294</v>
      </c>
      <c r="C829" s="13" t="s">
        <v>1302</v>
      </c>
      <c r="D829" s="13" t="s">
        <v>1339</v>
      </c>
      <c r="E829" s="1" t="s">
        <v>72</v>
      </c>
      <c r="F829" s="18" t="s">
        <v>73</v>
      </c>
      <c r="G829" s="13" t="s">
        <v>30</v>
      </c>
      <c r="H829" s="54" t="s">
        <v>126</v>
      </c>
      <c r="I829" t="s">
        <v>126</v>
      </c>
      <c r="P829" s="82"/>
    </row>
    <row r="830" spans="1:16" x14ac:dyDescent="0.25">
      <c r="A830" s="52">
        <f t="shared" si="12"/>
        <v>829</v>
      </c>
      <c r="B830" s="29" t="s">
        <v>1294</v>
      </c>
      <c r="C830" s="13" t="s">
        <v>1302</v>
      </c>
      <c r="D830" s="13" t="s">
        <v>1339</v>
      </c>
      <c r="E830" s="1" t="s">
        <v>74</v>
      </c>
      <c r="F830" s="18" t="s">
        <v>79</v>
      </c>
      <c r="G830" s="13" t="s">
        <v>30</v>
      </c>
      <c r="H830" s="54" t="s">
        <v>913</v>
      </c>
      <c r="I830" t="s">
        <v>126</v>
      </c>
      <c r="P830" s="82"/>
    </row>
    <row r="831" spans="1:16" x14ac:dyDescent="0.25">
      <c r="A831" s="52">
        <f t="shared" si="12"/>
        <v>830</v>
      </c>
      <c r="B831" s="29" t="s">
        <v>1294</v>
      </c>
      <c r="C831" s="13" t="s">
        <v>1302</v>
      </c>
      <c r="D831" s="13" t="s">
        <v>1339</v>
      </c>
      <c r="E831" s="1" t="s">
        <v>237</v>
      </c>
      <c r="F831" s="18" t="s">
        <v>80</v>
      </c>
      <c r="G831" s="13" t="s">
        <v>30</v>
      </c>
      <c r="H831" s="52" t="s">
        <v>1130</v>
      </c>
      <c r="I831" t="s">
        <v>369</v>
      </c>
      <c r="P831" s="82"/>
    </row>
    <row r="832" spans="1:16" ht="26.25" customHeight="1" x14ac:dyDescent="0.25">
      <c r="A832" s="52">
        <f t="shared" si="12"/>
        <v>831</v>
      </c>
      <c r="B832" s="29" t="s">
        <v>1294</v>
      </c>
      <c r="C832" s="13" t="s">
        <v>1302</v>
      </c>
      <c r="D832" s="13" t="s">
        <v>1339</v>
      </c>
      <c r="E832" s="10" t="s">
        <v>76</v>
      </c>
      <c r="F832" s="18" t="s">
        <v>81</v>
      </c>
      <c r="G832" s="13" t="s">
        <v>30</v>
      </c>
      <c r="H832" s="52" t="s">
        <v>1126</v>
      </c>
      <c r="P832" s="82"/>
    </row>
    <row r="833" spans="1:16" x14ac:dyDescent="0.25">
      <c r="A833" s="52">
        <f t="shared" si="12"/>
        <v>832</v>
      </c>
      <c r="B833" s="29" t="s">
        <v>1294</v>
      </c>
      <c r="C833" s="13" t="s">
        <v>1302</v>
      </c>
      <c r="D833" s="13" t="s">
        <v>1339</v>
      </c>
      <c r="E833" s="1" t="s">
        <v>77</v>
      </c>
      <c r="F833" s="18" t="s">
        <v>82</v>
      </c>
      <c r="G833" s="13" t="s">
        <v>30</v>
      </c>
      <c r="H833" s="52" t="s">
        <v>393</v>
      </c>
      <c r="I833" t="s">
        <v>393</v>
      </c>
      <c r="P833" s="82"/>
    </row>
    <row r="834" spans="1:16" x14ac:dyDescent="0.25">
      <c r="A834" s="52">
        <f t="shared" si="12"/>
        <v>833</v>
      </c>
      <c r="B834" s="29" t="s">
        <v>1294</v>
      </c>
      <c r="C834" s="13" t="s">
        <v>1302</v>
      </c>
      <c r="D834" s="13" t="s">
        <v>1339</v>
      </c>
      <c r="E834" s="1" t="s">
        <v>78</v>
      </c>
      <c r="F834" s="18" t="s">
        <v>83</v>
      </c>
      <c r="G834" s="13" t="s">
        <v>30</v>
      </c>
      <c r="H834" s="52" t="s">
        <v>395</v>
      </c>
      <c r="I834" t="s">
        <v>394</v>
      </c>
      <c r="P834" s="82"/>
    </row>
    <row r="835" spans="1:16" x14ac:dyDescent="0.25">
      <c r="A835" s="52">
        <f t="shared" si="12"/>
        <v>834</v>
      </c>
      <c r="B835" s="29" t="s">
        <v>1294</v>
      </c>
      <c r="C835" s="13" t="s">
        <v>1302</v>
      </c>
      <c r="D835" s="13" t="s">
        <v>1340</v>
      </c>
      <c r="E835" s="2" t="s">
        <v>259</v>
      </c>
      <c r="F835" s="18" t="s">
        <v>16</v>
      </c>
      <c r="G835" s="13" t="s">
        <v>30</v>
      </c>
      <c r="H835" s="54" t="s">
        <v>130</v>
      </c>
      <c r="P835" s="82"/>
    </row>
    <row r="836" spans="1:16" x14ac:dyDescent="0.25">
      <c r="A836" s="52">
        <f t="shared" ref="A836:A853" si="13">+A835+1</f>
        <v>835</v>
      </c>
      <c r="B836" s="29" t="s">
        <v>1294</v>
      </c>
      <c r="C836" s="13" t="s">
        <v>1302</v>
      </c>
      <c r="D836" s="13" t="s">
        <v>1340</v>
      </c>
      <c r="E836" s="13" t="s">
        <v>33</v>
      </c>
      <c r="F836" s="18" t="s">
        <v>69</v>
      </c>
      <c r="G836" s="13" t="s">
        <v>30</v>
      </c>
      <c r="H836" s="54" t="s">
        <v>114</v>
      </c>
      <c r="P836" s="82"/>
    </row>
    <row r="837" spans="1:16" x14ac:dyDescent="0.25">
      <c r="A837" s="52">
        <f t="shared" si="13"/>
        <v>836</v>
      </c>
      <c r="B837" s="29" t="s">
        <v>1294</v>
      </c>
      <c r="C837" s="13" t="s">
        <v>1302</v>
      </c>
      <c r="D837" s="13" t="s">
        <v>1340</v>
      </c>
      <c r="E837" s="13" t="s">
        <v>197</v>
      </c>
      <c r="F837" s="18" t="s">
        <v>182</v>
      </c>
      <c r="G837" s="13" t="s">
        <v>30</v>
      </c>
      <c r="H837" t="s">
        <v>1123</v>
      </c>
      <c r="P837" s="82"/>
    </row>
    <row r="838" spans="1:16" x14ac:dyDescent="0.25">
      <c r="A838" s="52">
        <f t="shared" si="13"/>
        <v>837</v>
      </c>
      <c r="B838" s="29" t="s">
        <v>1294</v>
      </c>
      <c r="C838" s="13" t="s">
        <v>1302</v>
      </c>
      <c r="D838" s="13" t="s">
        <v>1341</v>
      </c>
      <c r="E838" s="1" t="s">
        <v>32</v>
      </c>
      <c r="F838" s="18" t="s">
        <v>16</v>
      </c>
      <c r="G838" s="13" t="s">
        <v>30</v>
      </c>
      <c r="P838" s="82"/>
    </row>
    <row r="839" spans="1:16" x14ac:dyDescent="0.25">
      <c r="A839" s="52">
        <f t="shared" si="13"/>
        <v>838</v>
      </c>
      <c r="B839" s="29" t="s">
        <v>1294</v>
      </c>
      <c r="C839" s="13" t="s">
        <v>1302</v>
      </c>
      <c r="D839" s="13" t="s">
        <v>1341</v>
      </c>
      <c r="E839" s="1" t="s">
        <v>33</v>
      </c>
      <c r="F839" s="18" t="s">
        <v>69</v>
      </c>
      <c r="G839" s="13" t="s">
        <v>30</v>
      </c>
      <c r="P839" s="82"/>
    </row>
    <row r="840" spans="1:16" x14ac:dyDescent="0.25">
      <c r="A840" s="52">
        <f t="shared" si="13"/>
        <v>839</v>
      </c>
      <c r="B840" s="29" t="s">
        <v>1294</v>
      </c>
      <c r="C840" s="13" t="s">
        <v>1302</v>
      </c>
      <c r="D840" s="13" t="s">
        <v>1341</v>
      </c>
      <c r="E840" s="1" t="s">
        <v>85</v>
      </c>
      <c r="F840" s="18" t="s">
        <v>88</v>
      </c>
      <c r="G840" s="13" t="s">
        <v>30</v>
      </c>
      <c r="P840" s="82"/>
    </row>
    <row r="841" spans="1:16" x14ac:dyDescent="0.25">
      <c r="A841" s="52">
        <f t="shared" si="13"/>
        <v>840</v>
      </c>
      <c r="B841" s="29" t="s">
        <v>1294</v>
      </c>
      <c r="C841" s="13" t="s">
        <v>1302</v>
      </c>
      <c r="D841" s="13" t="s">
        <v>1341</v>
      </c>
      <c r="E841" s="1" t="s">
        <v>86</v>
      </c>
      <c r="F841" s="8" t="s">
        <v>89</v>
      </c>
      <c r="G841" s="13" t="s">
        <v>30</v>
      </c>
      <c r="P841" s="82"/>
    </row>
    <row r="842" spans="1:16" x14ac:dyDescent="0.25">
      <c r="A842" s="52">
        <f t="shared" si="13"/>
        <v>841</v>
      </c>
      <c r="B842" s="29" t="s">
        <v>1294</v>
      </c>
      <c r="C842" s="13" t="s">
        <v>1302</v>
      </c>
      <c r="D842" s="13" t="s">
        <v>1341</v>
      </c>
      <c r="E842" s="1" t="s">
        <v>87</v>
      </c>
      <c r="F842" s="8" t="s">
        <v>90</v>
      </c>
      <c r="G842" s="13" t="s">
        <v>30</v>
      </c>
      <c r="P842" s="82"/>
    </row>
    <row r="843" spans="1:16" x14ac:dyDescent="0.25">
      <c r="A843" s="52">
        <f t="shared" si="13"/>
        <v>842</v>
      </c>
      <c r="B843" s="29" t="s">
        <v>1294</v>
      </c>
      <c r="C843" s="13" t="s">
        <v>1302</v>
      </c>
      <c r="D843" s="13" t="s">
        <v>1342</v>
      </c>
      <c r="E843" s="1" t="s">
        <v>0</v>
      </c>
      <c r="F843" s="18" t="s">
        <v>17</v>
      </c>
      <c r="G843" s="13" t="s">
        <v>30</v>
      </c>
      <c r="H843" s="53" t="s">
        <v>130</v>
      </c>
      <c r="P843" s="82"/>
    </row>
    <row r="844" spans="1:16" x14ac:dyDescent="0.25">
      <c r="A844" s="52">
        <f t="shared" si="13"/>
        <v>843</v>
      </c>
      <c r="B844" s="29" t="s">
        <v>1294</v>
      </c>
      <c r="C844" s="13" t="s">
        <v>1302</v>
      </c>
      <c r="D844" s="13" t="s">
        <v>1342</v>
      </c>
      <c r="E844" s="2" t="s">
        <v>1</v>
      </c>
      <c r="F844" s="18" t="s">
        <v>17</v>
      </c>
      <c r="G844" s="13" t="s">
        <v>30</v>
      </c>
      <c r="H844" s="54" t="s">
        <v>108</v>
      </c>
      <c r="P844" s="82"/>
    </row>
    <row r="845" spans="1:16" x14ac:dyDescent="0.25">
      <c r="A845" s="52">
        <f t="shared" si="13"/>
        <v>844</v>
      </c>
      <c r="B845" s="29" t="s">
        <v>1294</v>
      </c>
      <c r="C845" s="13" t="s">
        <v>1302</v>
      </c>
      <c r="D845" s="13" t="s">
        <v>1342</v>
      </c>
      <c r="E845" s="1" t="s">
        <v>33</v>
      </c>
      <c r="F845" s="18" t="s">
        <v>69</v>
      </c>
      <c r="G845" s="13" t="s">
        <v>30</v>
      </c>
      <c r="H845" s="54" t="s">
        <v>114</v>
      </c>
      <c r="P845" s="82"/>
    </row>
    <row r="846" spans="1:16" x14ac:dyDescent="0.25">
      <c r="A846" s="52">
        <f t="shared" si="13"/>
        <v>845</v>
      </c>
      <c r="B846" s="29" t="s">
        <v>1294</v>
      </c>
      <c r="C846" s="13" t="s">
        <v>1302</v>
      </c>
      <c r="D846" s="13" t="s">
        <v>1342</v>
      </c>
      <c r="E846" s="1" t="s">
        <v>0</v>
      </c>
      <c r="F846" s="18" t="s">
        <v>1051</v>
      </c>
      <c r="G846" s="13" t="s">
        <v>30</v>
      </c>
      <c r="H846" t="s">
        <v>1332</v>
      </c>
      <c r="P846" s="82"/>
    </row>
    <row r="847" spans="1:16" x14ac:dyDescent="0.25">
      <c r="A847" s="52">
        <f t="shared" si="13"/>
        <v>846</v>
      </c>
      <c r="B847" s="29" t="s">
        <v>1294</v>
      </c>
      <c r="C847" s="13" t="s">
        <v>1302</v>
      </c>
      <c r="D847" s="13" t="s">
        <v>1342</v>
      </c>
      <c r="E847" s="1" t="s">
        <v>33</v>
      </c>
      <c r="F847" s="18" t="s">
        <v>1024</v>
      </c>
      <c r="G847" s="13" t="s">
        <v>30</v>
      </c>
      <c r="H847" t="s">
        <v>1329</v>
      </c>
      <c r="P847" s="82"/>
    </row>
    <row r="848" spans="1:16" x14ac:dyDescent="0.25">
      <c r="A848" s="52">
        <f t="shared" si="13"/>
        <v>847</v>
      </c>
      <c r="B848" s="29" t="s">
        <v>1294</v>
      </c>
      <c r="C848" s="13" t="s">
        <v>1302</v>
      </c>
      <c r="D848" s="13" t="s">
        <v>1342</v>
      </c>
      <c r="E848" s="1" t="s">
        <v>40</v>
      </c>
      <c r="F848" s="18" t="s">
        <v>23</v>
      </c>
      <c r="G848" s="13" t="s">
        <v>30</v>
      </c>
      <c r="P848" s="82"/>
    </row>
    <row r="849" spans="1:16" x14ac:dyDescent="0.25">
      <c r="A849" s="52">
        <f t="shared" si="13"/>
        <v>848</v>
      </c>
      <c r="B849" s="29" t="s">
        <v>1294</v>
      </c>
      <c r="C849" s="13" t="s">
        <v>1302</v>
      </c>
      <c r="D849" s="13" t="s">
        <v>1342</v>
      </c>
      <c r="E849" s="1" t="s">
        <v>42</v>
      </c>
      <c r="F849" s="18" t="s">
        <v>1026</v>
      </c>
      <c r="G849" s="13" t="s">
        <v>30</v>
      </c>
      <c r="P849" s="82"/>
    </row>
    <row r="850" spans="1:16" x14ac:dyDescent="0.25">
      <c r="A850" s="52">
        <f t="shared" si="13"/>
        <v>849</v>
      </c>
      <c r="B850" s="29" t="s">
        <v>1294</v>
      </c>
      <c r="C850" s="13" t="s">
        <v>1302</v>
      </c>
      <c r="D850" s="13" t="s">
        <v>1342</v>
      </c>
      <c r="E850" s="13" t="s">
        <v>1028</v>
      </c>
      <c r="F850" s="18" t="s">
        <v>1027</v>
      </c>
      <c r="G850" s="13" t="s">
        <v>30</v>
      </c>
      <c r="H850" t="s">
        <v>1330</v>
      </c>
    </row>
    <row r="851" spans="1:16" x14ac:dyDescent="0.25">
      <c r="A851" s="52">
        <f t="shared" si="13"/>
        <v>850</v>
      </c>
      <c r="B851" s="29" t="s">
        <v>1294</v>
      </c>
      <c r="C851" s="13" t="s">
        <v>1302</v>
      </c>
      <c r="D851" s="13" t="s">
        <v>1342</v>
      </c>
      <c r="E851" s="13" t="s">
        <v>1029</v>
      </c>
      <c r="F851" s="18" t="s">
        <v>1052</v>
      </c>
      <c r="G851" s="13" t="s">
        <v>30</v>
      </c>
    </row>
    <row r="852" spans="1:16" x14ac:dyDescent="0.25">
      <c r="A852" s="52">
        <f t="shared" si="13"/>
        <v>851</v>
      </c>
      <c r="B852" s="29" t="s">
        <v>1294</v>
      </c>
      <c r="C852" s="13" t="s">
        <v>1302</v>
      </c>
      <c r="D852" s="13" t="s">
        <v>1342</v>
      </c>
      <c r="E852" s="13" t="s">
        <v>45</v>
      </c>
      <c r="F852" s="8" t="s">
        <v>61</v>
      </c>
      <c r="G852" s="13" t="s">
        <v>30</v>
      </c>
      <c r="H852" t="s">
        <v>1331</v>
      </c>
    </row>
    <row r="853" spans="1:16" x14ac:dyDescent="0.25">
      <c r="A853" s="52">
        <f t="shared" si="13"/>
        <v>852</v>
      </c>
      <c r="B853" s="29" t="s">
        <v>1294</v>
      </c>
      <c r="C853" s="13" t="s">
        <v>1302</v>
      </c>
      <c r="D853" s="13" t="s">
        <v>1342</v>
      </c>
      <c r="E853" s="13" t="s">
        <v>46</v>
      </c>
      <c r="F853" s="18" t="s">
        <v>62</v>
      </c>
      <c r="G853" s="3" t="s">
        <v>30</v>
      </c>
      <c r="H853" s="54" t="s">
        <v>1318</v>
      </c>
    </row>
  </sheetData>
  <autoFilter ref="A1:K861" xr:uid="{C7B1B141-078E-4F9D-9FCD-969008D9909F}"/>
  <sortState xmlns:xlrd2="http://schemas.microsoft.com/office/spreadsheetml/2017/richdata2" ref="P19:P143">
    <sortCondition ref="P19:P143"/>
  </sortState>
  <conditionalFormatting sqref="E59">
    <cfRule type="duplicateValues" dxfId="85" priority="93"/>
  </conditionalFormatting>
  <conditionalFormatting sqref="E61">
    <cfRule type="duplicateValues" dxfId="84" priority="87"/>
  </conditionalFormatting>
  <conditionalFormatting sqref="E62">
    <cfRule type="duplicateValues" dxfId="83" priority="91"/>
  </conditionalFormatting>
  <conditionalFormatting sqref="E63">
    <cfRule type="duplicateValues" dxfId="82" priority="85"/>
  </conditionalFormatting>
  <conditionalFormatting sqref="E138">
    <cfRule type="duplicateValues" dxfId="81" priority="80"/>
  </conditionalFormatting>
  <conditionalFormatting sqref="E141">
    <cfRule type="duplicateValues" dxfId="80" priority="79"/>
  </conditionalFormatting>
  <conditionalFormatting sqref="E272">
    <cfRule type="duplicateValues" dxfId="79" priority="99"/>
  </conditionalFormatting>
  <conditionalFormatting sqref="E274">
    <cfRule type="duplicateValues" dxfId="78" priority="97"/>
  </conditionalFormatting>
  <conditionalFormatting sqref="E347">
    <cfRule type="duplicateValues" dxfId="77" priority="111"/>
  </conditionalFormatting>
  <conditionalFormatting sqref="E349">
    <cfRule type="duplicateValues" dxfId="76" priority="109"/>
  </conditionalFormatting>
  <conditionalFormatting sqref="E594">
    <cfRule type="duplicateValues" dxfId="75" priority="123"/>
  </conditionalFormatting>
  <conditionalFormatting sqref="E596">
    <cfRule type="duplicateValues" dxfId="74" priority="121"/>
  </conditionalFormatting>
  <conditionalFormatting sqref="E661">
    <cfRule type="duplicateValues" dxfId="73" priority="76"/>
  </conditionalFormatting>
  <conditionalFormatting sqref="E679">
    <cfRule type="duplicateValues" dxfId="72" priority="65"/>
  </conditionalFormatting>
  <conditionalFormatting sqref="E681">
    <cfRule type="duplicateValues" dxfId="71" priority="63"/>
  </conditionalFormatting>
  <conditionalFormatting sqref="E747">
    <cfRule type="duplicateValues" dxfId="70" priority="60"/>
  </conditionalFormatting>
  <conditionalFormatting sqref="E765">
    <cfRule type="duplicateValues" dxfId="69" priority="51"/>
  </conditionalFormatting>
  <conditionalFormatting sqref="E767">
    <cfRule type="duplicateValues" dxfId="68" priority="49"/>
  </conditionalFormatting>
  <conditionalFormatting sqref="E828">
    <cfRule type="duplicateValues" dxfId="67" priority="7"/>
  </conditionalFormatting>
  <conditionalFormatting sqref="E829">
    <cfRule type="duplicateValues" dxfId="66" priority="5"/>
  </conditionalFormatting>
  <conditionalFormatting sqref="E830:E834">
    <cfRule type="duplicateValues" dxfId="65" priority="9"/>
  </conditionalFormatting>
  <conditionalFormatting sqref="E845">
    <cfRule type="duplicateValues" dxfId="64" priority="3"/>
  </conditionalFormatting>
  <conditionalFormatting sqref="E847">
    <cfRule type="duplicateValues" dxfId="63" priority="1"/>
  </conditionalFormatting>
  <conditionalFormatting sqref="E43:F43 G50">
    <cfRule type="duplicateValues" dxfId="62" priority="197"/>
  </conditionalFormatting>
  <conditionalFormatting sqref="E43:F43">
    <cfRule type="duplicateValues" dxfId="61" priority="198"/>
  </conditionalFormatting>
  <conditionalFormatting sqref="E44:F50">
    <cfRule type="duplicateValues" dxfId="60" priority="195"/>
  </conditionalFormatting>
  <conditionalFormatting sqref="E195:F196 F192:F194">
    <cfRule type="duplicateValues" dxfId="59" priority="185"/>
  </conditionalFormatting>
  <conditionalFormatting sqref="E195:F196">
    <cfRule type="duplicateValues" dxfId="58" priority="186"/>
  </conditionalFormatting>
  <conditionalFormatting sqref="E248:F254">
    <cfRule type="duplicateValues" dxfId="57" priority="181"/>
  </conditionalFormatting>
  <conditionalFormatting sqref="E269:F270 F267:F268">
    <cfRule type="duplicateValues" dxfId="56" priority="47"/>
  </conditionalFormatting>
  <conditionalFormatting sqref="E269:F270">
    <cfRule type="duplicateValues" dxfId="55" priority="48"/>
  </conditionalFormatting>
  <conditionalFormatting sqref="E323:F329">
    <cfRule type="duplicateValues" dxfId="54" priority="150"/>
  </conditionalFormatting>
  <conditionalFormatting sqref="E344:F345 F342:F343">
    <cfRule type="duplicateValues" dxfId="53" priority="41"/>
  </conditionalFormatting>
  <conditionalFormatting sqref="E344:F345">
    <cfRule type="duplicateValues" dxfId="52" priority="42"/>
  </conditionalFormatting>
  <conditionalFormatting sqref="E432:F432">
    <cfRule type="duplicateValues" dxfId="51" priority="35"/>
  </conditionalFormatting>
  <conditionalFormatting sqref="E493:F493">
    <cfRule type="duplicateValues" dxfId="50" priority="149"/>
  </conditionalFormatting>
  <conditionalFormatting sqref="E494:F494">
    <cfRule type="duplicateValues" dxfId="49" priority="144"/>
  </conditionalFormatting>
  <conditionalFormatting sqref="E495:F495">
    <cfRule type="duplicateValues" dxfId="48" priority="141"/>
  </conditionalFormatting>
  <conditionalFormatting sqref="E496:F500">
    <cfRule type="duplicateValues" dxfId="47" priority="202"/>
  </conditionalFormatting>
  <conditionalFormatting sqref="E576:F576">
    <cfRule type="duplicateValues" dxfId="46" priority="138"/>
  </conditionalFormatting>
  <conditionalFormatting sqref="E577:F577">
    <cfRule type="duplicateValues" dxfId="45" priority="136"/>
  </conditionalFormatting>
  <conditionalFormatting sqref="E578:F578">
    <cfRule type="duplicateValues" dxfId="44" priority="133"/>
  </conditionalFormatting>
  <conditionalFormatting sqref="E579:F583">
    <cfRule type="duplicateValues" dxfId="43" priority="204"/>
  </conditionalFormatting>
  <conditionalFormatting sqref="E662:F662">
    <cfRule type="duplicateValues" dxfId="42" priority="74"/>
  </conditionalFormatting>
  <conditionalFormatting sqref="E663:F663">
    <cfRule type="duplicateValues" dxfId="41" priority="71"/>
  </conditionalFormatting>
  <conditionalFormatting sqref="E664:F668">
    <cfRule type="duplicateValues" dxfId="40" priority="78"/>
  </conditionalFormatting>
  <conditionalFormatting sqref="E748:F748">
    <cfRule type="duplicateValues" dxfId="39" priority="58"/>
  </conditionalFormatting>
  <conditionalFormatting sqref="E749:F749">
    <cfRule type="duplicateValues" dxfId="38" priority="55"/>
  </conditionalFormatting>
  <conditionalFormatting sqref="E750:F754">
    <cfRule type="duplicateValues" dxfId="37" priority="62"/>
  </conditionalFormatting>
  <conditionalFormatting sqref="E120:G120">
    <cfRule type="duplicateValues" dxfId="36" priority="189"/>
  </conditionalFormatting>
  <conditionalFormatting sqref="F51">
    <cfRule type="duplicateValues" dxfId="35" priority="31"/>
  </conditionalFormatting>
  <conditionalFormatting sqref="F53">
    <cfRule type="duplicateValues" dxfId="34" priority="29"/>
  </conditionalFormatting>
  <conditionalFormatting sqref="F189">
    <cfRule type="duplicateValues" dxfId="33" priority="187"/>
  </conditionalFormatting>
  <conditionalFormatting sqref="F191">
    <cfRule type="duplicateValues" dxfId="32" priority="154"/>
  </conditionalFormatting>
  <conditionalFormatting sqref="F247 G254">
    <cfRule type="duplicateValues" dxfId="31" priority="183"/>
  </conditionalFormatting>
  <conditionalFormatting sqref="F247">
    <cfRule type="duplicateValues" dxfId="30" priority="184"/>
  </conditionalFormatting>
  <conditionalFormatting sqref="F263">
    <cfRule type="duplicateValues" dxfId="29" priority="43"/>
  </conditionalFormatting>
  <conditionalFormatting sqref="F265">
    <cfRule type="duplicateValues" dxfId="28" priority="45"/>
  </conditionalFormatting>
  <conditionalFormatting sqref="F271">
    <cfRule type="duplicateValues" dxfId="27" priority="107"/>
  </conditionalFormatting>
  <conditionalFormatting sqref="F273">
    <cfRule type="duplicateValues" dxfId="26" priority="101"/>
  </conditionalFormatting>
  <conditionalFormatting sqref="F322 G329">
    <cfRule type="duplicateValues" dxfId="25" priority="152"/>
  </conditionalFormatting>
  <conditionalFormatting sqref="F322">
    <cfRule type="duplicateValues" dxfId="24" priority="153"/>
  </conditionalFormatting>
  <conditionalFormatting sqref="F338">
    <cfRule type="duplicateValues" dxfId="23" priority="37"/>
  </conditionalFormatting>
  <conditionalFormatting sqref="F340">
    <cfRule type="duplicateValues" dxfId="22" priority="39"/>
  </conditionalFormatting>
  <conditionalFormatting sqref="F346">
    <cfRule type="duplicateValues" dxfId="21" priority="119"/>
  </conditionalFormatting>
  <conditionalFormatting sqref="F348">
    <cfRule type="duplicateValues" dxfId="20" priority="113"/>
  </conditionalFormatting>
  <conditionalFormatting sqref="F427">
    <cfRule type="duplicateValues" dxfId="19" priority="33"/>
  </conditionalFormatting>
  <conditionalFormatting sqref="F501">
    <cfRule type="duplicateValues" dxfId="18" priority="25"/>
  </conditionalFormatting>
  <conditionalFormatting sqref="F503">
    <cfRule type="duplicateValues" dxfId="17" priority="27"/>
  </conditionalFormatting>
  <conditionalFormatting sqref="F511">
    <cfRule type="duplicateValues" dxfId="16" priority="131"/>
  </conditionalFormatting>
  <conditionalFormatting sqref="F513">
    <cfRule type="duplicateValues" dxfId="15" priority="129"/>
  </conditionalFormatting>
  <conditionalFormatting sqref="F584">
    <cfRule type="duplicateValues" dxfId="14" priority="21"/>
  </conditionalFormatting>
  <conditionalFormatting sqref="F586">
    <cfRule type="duplicateValues" dxfId="13" priority="23"/>
  </conditionalFormatting>
  <conditionalFormatting sqref="F594">
    <cfRule type="duplicateValues" dxfId="12" priority="127"/>
  </conditionalFormatting>
  <conditionalFormatting sqref="F596">
    <cfRule type="duplicateValues" dxfId="11" priority="125"/>
  </conditionalFormatting>
  <conditionalFormatting sqref="F669">
    <cfRule type="duplicateValues" dxfId="10" priority="17"/>
  </conditionalFormatting>
  <conditionalFormatting sqref="F671">
    <cfRule type="duplicateValues" dxfId="9" priority="19"/>
  </conditionalFormatting>
  <conditionalFormatting sqref="F681">
    <cfRule type="duplicateValues" dxfId="8" priority="67"/>
  </conditionalFormatting>
  <conditionalFormatting sqref="F755">
    <cfRule type="duplicateValues" dxfId="7" priority="13"/>
  </conditionalFormatting>
  <conditionalFormatting sqref="F757">
    <cfRule type="duplicateValues" dxfId="6" priority="15"/>
  </conditionalFormatting>
  <conditionalFormatting sqref="F767">
    <cfRule type="duplicateValues" dxfId="5" priority="53"/>
  </conditionalFormatting>
  <conditionalFormatting sqref="F827:G827">
    <cfRule type="duplicateValues" dxfId="4" priority="12"/>
  </conditionalFormatting>
  <conditionalFormatting sqref="G495">
    <cfRule type="duplicateValues" dxfId="3" priority="143"/>
  </conditionalFormatting>
  <conditionalFormatting sqref="G578">
    <cfRule type="duplicateValues" dxfId="2" priority="135"/>
  </conditionalFormatting>
  <conditionalFormatting sqref="G663">
    <cfRule type="duplicateValues" dxfId="1" priority="73"/>
  </conditionalFormatting>
  <conditionalFormatting sqref="G749">
    <cfRule type="duplicateValues" dxfId="0" priority="57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7934-A4AB-47A0-B139-C208E443A3FF}">
  <dimension ref="G6:R100"/>
  <sheetViews>
    <sheetView topLeftCell="A37" workbookViewId="0"/>
  </sheetViews>
  <sheetFormatPr baseColWidth="10" defaultRowHeight="15" x14ac:dyDescent="0.25"/>
  <cols>
    <col min="7" max="7" width="104.5703125" bestFit="1" customWidth="1"/>
    <col min="9" max="10" width="47" bestFit="1" customWidth="1"/>
    <col min="14" max="14" width="47.7109375" bestFit="1" customWidth="1"/>
  </cols>
  <sheetData>
    <row r="6" spans="7:18" x14ac:dyDescent="0.25">
      <c r="G6" t="s">
        <v>130</v>
      </c>
      <c r="H6">
        <v>1</v>
      </c>
      <c r="O6" t="s">
        <v>1148</v>
      </c>
    </row>
    <row r="7" spans="7:18" x14ac:dyDescent="0.25">
      <c r="G7" t="s">
        <v>108</v>
      </c>
      <c r="H7">
        <v>2</v>
      </c>
      <c r="J7" t="s">
        <v>108</v>
      </c>
      <c r="K7">
        <v>2</v>
      </c>
      <c r="P7" t="s">
        <v>1149</v>
      </c>
      <c r="R7" t="str">
        <f>P7</f>
        <v>{"ID"</v>
      </c>
    </row>
    <row r="8" spans="7:18" x14ac:dyDescent="0.25">
      <c r="G8" t="s">
        <v>109</v>
      </c>
      <c r="H8">
        <v>3</v>
      </c>
      <c r="J8" t="s">
        <v>109</v>
      </c>
      <c r="K8">
        <v>3</v>
      </c>
      <c r="P8" t="s">
        <v>1150</v>
      </c>
      <c r="R8" t="str">
        <f>R7&amp;","&amp;P8</f>
        <v>{"ID", "TAG"</v>
      </c>
    </row>
    <row r="9" spans="7:18" x14ac:dyDescent="0.25">
      <c r="G9" t="s">
        <v>363</v>
      </c>
      <c r="H9">
        <v>4</v>
      </c>
      <c r="J9" t="s">
        <v>363</v>
      </c>
      <c r="K9">
        <v>4</v>
      </c>
      <c r="P9" t="s">
        <v>1159</v>
      </c>
      <c r="R9" t="str">
        <f t="shared" ref="R9:R63" si="0">R8&amp;","&amp;P9</f>
        <v>{"ID", "TAG", "ENVELOPPE"</v>
      </c>
    </row>
    <row r="10" spans="7:18" x14ac:dyDescent="0.25">
      <c r="G10" t="s">
        <v>110</v>
      </c>
      <c r="H10">
        <v>5</v>
      </c>
      <c r="J10" t="s">
        <v>110</v>
      </c>
      <c r="K10">
        <v>5</v>
      </c>
      <c r="P10" t="s">
        <v>1152</v>
      </c>
      <c r="R10" t="str">
        <f t="shared" si="0"/>
        <v>{"ID", "TAG", "ENVELOPPE", "BASE_TRIMESTRE_REPORTING"</v>
      </c>
    </row>
    <row r="11" spans="7:18" x14ac:dyDescent="0.25">
      <c r="G11" t="s">
        <v>359</v>
      </c>
      <c r="H11">
        <v>6</v>
      </c>
      <c r="J11" t="s">
        <v>359</v>
      </c>
      <c r="K11">
        <v>6</v>
      </c>
      <c r="P11" t="s">
        <v>1153</v>
      </c>
      <c r="R11" t="str">
        <f t="shared" si="0"/>
        <v>{"ID", "TAG", "ENVELOPPE", "BASE_TRIMESTRE_REPORTING", "BASE_VALIDITE_COMMENTAIRE"</v>
      </c>
    </row>
    <row r="12" spans="7:18" x14ac:dyDescent="0.25">
      <c r="G12" t="s">
        <v>1134</v>
      </c>
      <c r="H12">
        <v>7</v>
      </c>
      <c r="J12" t="s">
        <v>1134</v>
      </c>
      <c r="K12">
        <v>7</v>
      </c>
      <c r="P12" t="s">
        <v>1169</v>
      </c>
      <c r="R12" t="str">
        <f t="shared" si="0"/>
        <v>{"ID", "TAG", "ENVELOPPE", "BASE_TRIMESTRE_REPORTING", "BASE_VALIDITE_COMMENTAIRE", "KLS_SIRET"</v>
      </c>
    </row>
    <row r="13" spans="7:18" x14ac:dyDescent="0.25">
      <c r="G13" t="s">
        <v>882</v>
      </c>
      <c r="H13">
        <v>8</v>
      </c>
      <c r="J13" t="s">
        <v>1142</v>
      </c>
      <c r="K13">
        <v>8</v>
      </c>
      <c r="P13" t="s">
        <v>1170</v>
      </c>
      <c r="R13" t="str">
        <f t="shared" si="0"/>
        <v>{"ID", "TAG", "ENVELOPPE", "BASE_TRIMESTRE_REPORTING", "BASE_VALIDITE_COMMENTAIRE", "KLS_SIRET", "KLS_NUM PRET"</v>
      </c>
    </row>
    <row r="14" spans="7:18" x14ac:dyDescent="0.25">
      <c r="G14" t="s">
        <v>111</v>
      </c>
      <c r="H14">
        <v>9</v>
      </c>
      <c r="J14" t="s">
        <v>111</v>
      </c>
      <c r="K14">
        <v>9</v>
      </c>
      <c r="P14" t="s">
        <v>1156</v>
      </c>
      <c r="R14" t="str">
        <f t="shared" si="0"/>
        <v>{"ID", "TAG", "ENVELOPPE", "BASE_TRIMESTRE_REPORTING", "BASE_VALIDITE_COMMENTAIRE", "KLS_SIRET", "KLS_NUM PRET", "CLE_CORRESPONDANCE"</v>
      </c>
    </row>
    <row r="15" spans="7:18" x14ac:dyDescent="0.25">
      <c r="G15" t="s">
        <v>400</v>
      </c>
      <c r="H15">
        <v>10</v>
      </c>
      <c r="J15" t="s">
        <v>400</v>
      </c>
      <c r="K15">
        <v>10</v>
      </c>
      <c r="P15" t="s">
        <v>1157</v>
      </c>
      <c r="R15" t="str">
        <f t="shared" si="0"/>
        <v>{"ID", "TAG", "ENVELOPPE", "BASE_TRIMESTRE_REPORTING", "BASE_VALIDITE_COMMENTAIRE", "KLS_SIRET", "KLS_NUM PRET", "CLE_CORRESPONDANCE", "CLE_CORRESPONDANCE_2"</v>
      </c>
    </row>
    <row r="16" spans="7:18" x14ac:dyDescent="0.25">
      <c r="G16" t="s">
        <v>112</v>
      </c>
      <c r="H16">
        <v>11</v>
      </c>
      <c r="J16" t="s">
        <v>112</v>
      </c>
      <c r="K16">
        <v>11</v>
      </c>
      <c r="P16" t="s">
        <v>1158</v>
      </c>
      <c r="R16" t="str">
        <f t="shared" si="0"/>
        <v>{"ID", "TAG", "ENVELOPPE", "BASE_TRIMESTRE_REPORTING", "BASE_VALIDITE_COMMENTAIRE", "KLS_SIRET", "KLS_NUM PRET", "CLE_CORRESPONDANCE", "CLE_CORRESPONDANCE_2", "Clé Anomalie"</v>
      </c>
    </row>
    <row r="17" spans="7:18" x14ac:dyDescent="0.25">
      <c r="G17" t="s">
        <v>361</v>
      </c>
      <c r="H17">
        <v>12</v>
      </c>
      <c r="J17" t="s">
        <v>361</v>
      </c>
      <c r="K17">
        <v>12</v>
      </c>
      <c r="P17" t="s">
        <v>1160</v>
      </c>
      <c r="R17" t="str">
        <f t="shared" si="0"/>
        <v>{"ID", "TAG", "ENVELOPPE", "BASE_TRIMESTRE_REPORTING", "BASE_VALIDITE_COMMENTAIRE", "KLS_SIRET", "KLS_NUM PRET", "CLE_CORRESPONDANCE", "CLE_CORRESPONDANCE_2", "Clé Anomalie", "Commentaire"</v>
      </c>
    </row>
    <row r="18" spans="7:18" x14ac:dyDescent="0.25">
      <c r="G18" t="s">
        <v>362</v>
      </c>
      <c r="H18">
        <v>13</v>
      </c>
      <c r="J18" t="s">
        <v>362</v>
      </c>
      <c r="K18">
        <v>13</v>
      </c>
      <c r="P18" t="s">
        <v>1184</v>
      </c>
      <c r="R18" t="str">
        <f t="shared" si="0"/>
        <v>{"ID", "TAG", "ENVELOPPE", "BASE_TRIMESTRE_REPORTING", "BASE_VALIDITE_COMMENTAIRE", "KLS_SIRET", "KLS_NUM PRET", "CLE_CORRESPONDANCE", "CLE_CORRESPONDANCE_2", "Clé Anomalie", "Commentaire", "KLS_NAME"</v>
      </c>
    </row>
    <row r="19" spans="7:18" x14ac:dyDescent="0.25">
      <c r="G19" t="s">
        <v>840</v>
      </c>
      <c r="H19">
        <v>14</v>
      </c>
      <c r="J19" t="s">
        <v>388</v>
      </c>
      <c r="K19">
        <v>14</v>
      </c>
      <c r="P19" t="s">
        <v>1205</v>
      </c>
      <c r="R19" t="str">
        <f t="shared" si="0"/>
        <v>{"ID", "TAG", "ENVELOPPE", "BASE_TRIMESTRE_REPORTING", "BASE_VALIDITE_COMMENTAIRE", "KLS_SIRET", "KLS_NUM PRET", "CLE_CORRESPONDANCE", "CLE_CORRESPONDANCE_2", "Clé Anomalie", "Commentaire", "KLS_NAME","KLS_NOM BENEFICIAIRE"</v>
      </c>
    </row>
    <row r="20" spans="7:18" x14ac:dyDescent="0.25">
      <c r="G20" t="s">
        <v>113</v>
      </c>
      <c r="H20">
        <v>15</v>
      </c>
      <c r="J20" t="s">
        <v>113</v>
      </c>
      <c r="K20">
        <v>15</v>
      </c>
      <c r="P20" t="s">
        <v>1161</v>
      </c>
      <c r="R20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</v>
      </c>
    </row>
    <row r="21" spans="7:18" x14ac:dyDescent="0.25">
      <c r="G21" t="s">
        <v>841</v>
      </c>
      <c r="H21">
        <v>16</v>
      </c>
      <c r="J21" t="s">
        <v>366</v>
      </c>
      <c r="K21">
        <v>16</v>
      </c>
      <c r="P21" t="s">
        <v>1166</v>
      </c>
      <c r="R21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</v>
      </c>
    </row>
    <row r="22" spans="7:18" x14ac:dyDescent="0.25">
      <c r="G22" t="s">
        <v>132</v>
      </c>
      <c r="H22">
        <v>17</v>
      </c>
      <c r="J22" t="s">
        <v>114</v>
      </c>
      <c r="K22">
        <v>20</v>
      </c>
      <c r="P22" t="s">
        <v>1206</v>
      </c>
      <c r="R22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</v>
      </c>
    </row>
    <row r="23" spans="7:18" x14ac:dyDescent="0.25">
      <c r="G23" t="s">
        <v>114</v>
      </c>
      <c r="H23">
        <v>20</v>
      </c>
      <c r="J23" t="s">
        <v>128</v>
      </c>
      <c r="K23">
        <v>21</v>
      </c>
      <c r="P23" t="s">
        <v>1162</v>
      </c>
      <c r="R23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</v>
      </c>
    </row>
    <row r="24" spans="7:18" x14ac:dyDescent="0.25">
      <c r="G24" t="s">
        <v>128</v>
      </c>
      <c r="H24">
        <v>21</v>
      </c>
      <c r="J24" t="s">
        <v>368</v>
      </c>
      <c r="K24">
        <v>22</v>
      </c>
      <c r="P24" t="s">
        <v>1163</v>
      </c>
      <c r="R24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</v>
      </c>
    </row>
    <row r="25" spans="7:18" x14ac:dyDescent="0.25">
      <c r="G25" t="s">
        <v>368</v>
      </c>
      <c r="H25">
        <v>22</v>
      </c>
      <c r="J25" t="s">
        <v>115</v>
      </c>
      <c r="K25">
        <v>23</v>
      </c>
      <c r="P25" t="s">
        <v>1164</v>
      </c>
      <c r="R25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</v>
      </c>
    </row>
    <row r="26" spans="7:18" x14ac:dyDescent="0.25">
      <c r="G26" t="s">
        <v>115</v>
      </c>
      <c r="H26">
        <v>23</v>
      </c>
      <c r="J26" t="s">
        <v>116</v>
      </c>
      <c r="K26">
        <v>25</v>
      </c>
      <c r="P26" t="s">
        <v>1165</v>
      </c>
      <c r="R26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</v>
      </c>
    </row>
    <row r="27" spans="7:18" x14ac:dyDescent="0.25">
      <c r="G27" t="s">
        <v>116</v>
      </c>
      <c r="H27">
        <v>25</v>
      </c>
      <c r="J27" t="s">
        <v>117</v>
      </c>
      <c r="K27">
        <v>26</v>
      </c>
      <c r="P27" t="s">
        <v>1167</v>
      </c>
      <c r="R27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</v>
      </c>
    </row>
    <row r="28" spans="7:18" x14ac:dyDescent="0.25">
      <c r="G28" t="s">
        <v>117</v>
      </c>
      <c r="H28">
        <v>26</v>
      </c>
      <c r="J28" t="s">
        <v>1143</v>
      </c>
      <c r="K28">
        <v>27</v>
      </c>
      <c r="P28" t="s">
        <v>1168</v>
      </c>
      <c r="R28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</v>
      </c>
    </row>
    <row r="29" spans="7:18" x14ac:dyDescent="0.25">
      <c r="G29" t="s">
        <v>842</v>
      </c>
      <c r="H29">
        <v>27</v>
      </c>
      <c r="J29" t="s">
        <v>898</v>
      </c>
      <c r="K29">
        <v>28</v>
      </c>
      <c r="P29" t="s">
        <v>1151</v>
      </c>
      <c r="R29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</v>
      </c>
    </row>
    <row r="30" spans="7:18" x14ac:dyDescent="0.25">
      <c r="G30" t="s">
        <v>898</v>
      </c>
      <c r="H30">
        <v>28</v>
      </c>
      <c r="J30" t="s">
        <v>119</v>
      </c>
      <c r="K30">
        <v>29</v>
      </c>
      <c r="P30" t="s">
        <v>1154</v>
      </c>
      <c r="R30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</v>
      </c>
    </row>
    <row r="31" spans="7:18" x14ac:dyDescent="0.25">
      <c r="G31" t="s">
        <v>119</v>
      </c>
      <c r="H31">
        <v>29</v>
      </c>
      <c r="J31" t="s">
        <v>120</v>
      </c>
      <c r="K31">
        <v>30</v>
      </c>
      <c r="P31" t="s">
        <v>1155</v>
      </c>
      <c r="R31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</v>
      </c>
    </row>
    <row r="32" spans="7:18" x14ac:dyDescent="0.25">
      <c r="G32" t="s">
        <v>120</v>
      </c>
      <c r="H32">
        <v>30</v>
      </c>
      <c r="J32" t="s">
        <v>404</v>
      </c>
      <c r="K32">
        <v>31</v>
      </c>
      <c r="P32" t="s">
        <v>1171</v>
      </c>
      <c r="R32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</v>
      </c>
    </row>
    <row r="33" spans="7:18" x14ac:dyDescent="0.25">
      <c r="G33" t="s">
        <v>404</v>
      </c>
      <c r="H33">
        <v>31</v>
      </c>
      <c r="J33" t="s">
        <v>129</v>
      </c>
      <c r="K33">
        <v>32</v>
      </c>
      <c r="P33" t="s">
        <v>1172</v>
      </c>
      <c r="R33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</v>
      </c>
    </row>
    <row r="34" spans="7:18" x14ac:dyDescent="0.25">
      <c r="G34" t="s">
        <v>129</v>
      </c>
      <c r="H34">
        <v>32</v>
      </c>
      <c r="J34" t="s">
        <v>122</v>
      </c>
      <c r="K34">
        <v>33</v>
      </c>
      <c r="P34" t="s">
        <v>1173</v>
      </c>
      <c r="R34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</v>
      </c>
    </row>
    <row r="35" spans="7:18" x14ac:dyDescent="0.25">
      <c r="G35" t="s">
        <v>122</v>
      </c>
      <c r="H35">
        <v>33</v>
      </c>
      <c r="J35" t="s">
        <v>123</v>
      </c>
      <c r="K35">
        <v>35</v>
      </c>
      <c r="P35" t="s">
        <v>1174</v>
      </c>
      <c r="R35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</v>
      </c>
    </row>
    <row r="36" spans="7:18" x14ac:dyDescent="0.25">
      <c r="G36" t="s">
        <v>123</v>
      </c>
      <c r="H36">
        <v>35</v>
      </c>
      <c r="J36" t="s">
        <v>883</v>
      </c>
      <c r="K36">
        <v>37</v>
      </c>
      <c r="P36" t="s">
        <v>1175</v>
      </c>
      <c r="R36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</v>
      </c>
    </row>
    <row r="37" spans="7:18" x14ac:dyDescent="0.25">
      <c r="G37" t="s">
        <v>883</v>
      </c>
      <c r="H37">
        <v>37</v>
      </c>
      <c r="J37" t="s">
        <v>125</v>
      </c>
      <c r="K37">
        <v>38</v>
      </c>
      <c r="P37" t="s">
        <v>1176</v>
      </c>
      <c r="R37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</v>
      </c>
    </row>
    <row r="38" spans="7:18" x14ac:dyDescent="0.25">
      <c r="G38" t="s">
        <v>125</v>
      </c>
      <c r="H38">
        <v>38</v>
      </c>
      <c r="J38" t="s">
        <v>131</v>
      </c>
      <c r="K38">
        <v>43</v>
      </c>
      <c r="P38" t="s">
        <v>1177</v>
      </c>
      <c r="R38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</v>
      </c>
    </row>
    <row r="39" spans="7:18" x14ac:dyDescent="0.25">
      <c r="G39" t="s">
        <v>131</v>
      </c>
      <c r="H39">
        <v>43</v>
      </c>
      <c r="J39" t="s">
        <v>126</v>
      </c>
      <c r="K39">
        <v>44</v>
      </c>
      <c r="P39" t="s">
        <v>1178</v>
      </c>
      <c r="R39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</v>
      </c>
    </row>
    <row r="40" spans="7:18" x14ac:dyDescent="0.25">
      <c r="G40" t="s">
        <v>126</v>
      </c>
      <c r="H40">
        <v>44</v>
      </c>
      <c r="J40" t="s">
        <v>1144</v>
      </c>
      <c r="K40">
        <v>46</v>
      </c>
      <c r="P40" t="s">
        <v>1179</v>
      </c>
      <c r="R40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</v>
      </c>
    </row>
    <row r="41" spans="7:18" x14ac:dyDescent="0.25">
      <c r="G41" t="s">
        <v>913</v>
      </c>
      <c r="H41">
        <v>45</v>
      </c>
      <c r="J41" t="s">
        <v>369</v>
      </c>
      <c r="K41">
        <v>48</v>
      </c>
      <c r="P41" t="s">
        <v>1180</v>
      </c>
      <c r="R41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</v>
      </c>
    </row>
    <row r="42" spans="7:18" x14ac:dyDescent="0.25">
      <c r="G42" t="s">
        <v>843</v>
      </c>
      <c r="H42">
        <v>46</v>
      </c>
      <c r="J42" t="s">
        <v>1126</v>
      </c>
      <c r="K42">
        <v>49</v>
      </c>
      <c r="P42" t="s">
        <v>1181</v>
      </c>
      <c r="R42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</v>
      </c>
    </row>
    <row r="43" spans="7:18" x14ac:dyDescent="0.25">
      <c r="G43" t="s">
        <v>1126</v>
      </c>
      <c r="H43">
        <v>47</v>
      </c>
      <c r="J43" t="s">
        <v>393</v>
      </c>
      <c r="K43">
        <v>51</v>
      </c>
      <c r="P43" t="s">
        <v>1182</v>
      </c>
      <c r="R43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</v>
      </c>
    </row>
    <row r="44" spans="7:18" x14ac:dyDescent="0.25">
      <c r="G44" t="s">
        <v>393</v>
      </c>
      <c r="H44">
        <v>48</v>
      </c>
      <c r="J44" t="s">
        <v>1123</v>
      </c>
      <c r="K44">
        <v>52</v>
      </c>
      <c r="P44" t="s">
        <v>1183</v>
      </c>
      <c r="R44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</v>
      </c>
    </row>
    <row r="45" spans="7:18" x14ac:dyDescent="0.25">
      <c r="G45" t="s">
        <v>395</v>
      </c>
      <c r="H45">
        <v>49</v>
      </c>
      <c r="J45" t="s">
        <v>360</v>
      </c>
      <c r="K45">
        <v>83</v>
      </c>
      <c r="P45" t="s">
        <v>1185</v>
      </c>
      <c r="R45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</v>
      </c>
    </row>
    <row r="46" spans="7:18" x14ac:dyDescent="0.25">
      <c r="H46">
        <v>51</v>
      </c>
      <c r="J46" t="s">
        <v>387</v>
      </c>
      <c r="K46">
        <v>90</v>
      </c>
      <c r="P46" t="s">
        <v>1186</v>
      </c>
      <c r="R46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</v>
      </c>
    </row>
    <row r="47" spans="7:18" x14ac:dyDescent="0.25">
      <c r="G47" t="s">
        <v>1123</v>
      </c>
      <c r="H47">
        <v>52</v>
      </c>
      <c r="J47" t="s">
        <v>390</v>
      </c>
      <c r="K47">
        <v>111</v>
      </c>
      <c r="P47" t="s">
        <v>1187</v>
      </c>
      <c r="R47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</v>
      </c>
    </row>
    <row r="48" spans="7:18" x14ac:dyDescent="0.25">
      <c r="G48" t="s">
        <v>360</v>
      </c>
      <c r="H48">
        <v>83</v>
      </c>
      <c r="J48" t="s">
        <v>391</v>
      </c>
      <c r="K48">
        <v>112</v>
      </c>
      <c r="P48" t="s">
        <v>1188</v>
      </c>
      <c r="R48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</v>
      </c>
    </row>
    <row r="49" spans="7:18" x14ac:dyDescent="0.25">
      <c r="G49" t="s">
        <v>844</v>
      </c>
      <c r="H49">
        <v>89</v>
      </c>
      <c r="J49" t="s">
        <v>392</v>
      </c>
      <c r="K49">
        <v>113</v>
      </c>
      <c r="P49" t="s">
        <v>1189</v>
      </c>
      <c r="R49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</v>
      </c>
    </row>
    <row r="50" spans="7:18" x14ac:dyDescent="0.25">
      <c r="G50" t="s">
        <v>387</v>
      </c>
      <c r="H50">
        <v>90</v>
      </c>
      <c r="J50" t="s">
        <v>1137</v>
      </c>
      <c r="K50">
        <v>156</v>
      </c>
      <c r="P50" t="s">
        <v>1190</v>
      </c>
      <c r="R50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</v>
      </c>
    </row>
    <row r="51" spans="7:18" x14ac:dyDescent="0.25">
      <c r="G51" t="s">
        <v>845</v>
      </c>
      <c r="H51">
        <v>91</v>
      </c>
      <c r="J51" t="s">
        <v>403</v>
      </c>
      <c r="K51">
        <v>170</v>
      </c>
      <c r="P51" t="s">
        <v>1191</v>
      </c>
      <c r="R51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</v>
      </c>
    </row>
    <row r="52" spans="7:18" x14ac:dyDescent="0.25">
      <c r="G52" t="s">
        <v>389</v>
      </c>
      <c r="H52">
        <v>110</v>
      </c>
      <c r="J52" t="s">
        <v>118</v>
      </c>
      <c r="K52">
        <v>171</v>
      </c>
      <c r="P52" t="s">
        <v>1192</v>
      </c>
      <c r="R52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</v>
      </c>
    </row>
    <row r="53" spans="7:18" x14ac:dyDescent="0.25">
      <c r="G53" t="s">
        <v>1049</v>
      </c>
      <c r="H53">
        <v>111</v>
      </c>
      <c r="J53" t="s">
        <v>897</v>
      </c>
      <c r="K53">
        <v>210</v>
      </c>
      <c r="P53" t="s">
        <v>1193</v>
      </c>
      <c r="R53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</v>
      </c>
    </row>
    <row r="54" spans="7:18" x14ac:dyDescent="0.25">
      <c r="G54" t="s">
        <v>391</v>
      </c>
      <c r="H54">
        <v>112</v>
      </c>
      <c r="J54" t="s">
        <v>412</v>
      </c>
      <c r="K54">
        <v>223</v>
      </c>
      <c r="P54" t="s">
        <v>1194</v>
      </c>
      <c r="R54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</v>
      </c>
    </row>
    <row r="55" spans="7:18" x14ac:dyDescent="0.25">
      <c r="G55" t="s">
        <v>392</v>
      </c>
      <c r="H55">
        <v>113</v>
      </c>
      <c r="J55" t="s">
        <v>386</v>
      </c>
      <c r="K55">
        <v>253</v>
      </c>
      <c r="P55" t="s">
        <v>1195</v>
      </c>
      <c r="R55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</v>
      </c>
    </row>
    <row r="56" spans="7:18" x14ac:dyDescent="0.25">
      <c r="G56" t="s">
        <v>1137</v>
      </c>
      <c r="H56">
        <v>156</v>
      </c>
      <c r="J56" t="s">
        <v>410</v>
      </c>
      <c r="K56">
        <v>297</v>
      </c>
      <c r="P56" t="s">
        <v>1196</v>
      </c>
      <c r="R56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</v>
      </c>
    </row>
    <row r="57" spans="7:18" x14ac:dyDescent="0.25">
      <c r="G57" t="s">
        <v>401</v>
      </c>
      <c r="H57">
        <v>166</v>
      </c>
      <c r="J57" t="s">
        <v>962</v>
      </c>
      <c r="K57">
        <v>363</v>
      </c>
      <c r="P57" t="s">
        <v>1197</v>
      </c>
      <c r="R57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</v>
      </c>
    </row>
    <row r="58" spans="7:18" x14ac:dyDescent="0.25">
      <c r="G58" t="s">
        <v>403</v>
      </c>
      <c r="H58">
        <v>170</v>
      </c>
      <c r="J58" t="s">
        <v>1140</v>
      </c>
      <c r="K58">
        <v>364</v>
      </c>
      <c r="P58" t="s">
        <v>1198</v>
      </c>
      <c r="R58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</v>
      </c>
    </row>
    <row r="59" spans="7:18" x14ac:dyDescent="0.25">
      <c r="G59" t="s">
        <v>846</v>
      </c>
      <c r="H59">
        <v>171</v>
      </c>
      <c r="J59" t="s">
        <v>963</v>
      </c>
      <c r="K59">
        <v>365</v>
      </c>
      <c r="P59" t="s">
        <v>1199</v>
      </c>
      <c r="R59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</v>
      </c>
    </row>
    <row r="60" spans="7:18" x14ac:dyDescent="0.25">
      <c r="G60">
        <v>0</v>
      </c>
      <c r="H60">
        <v>181</v>
      </c>
      <c r="J60" t="s">
        <v>946</v>
      </c>
      <c r="K60">
        <v>372</v>
      </c>
      <c r="P60" t="s">
        <v>1200</v>
      </c>
      <c r="R60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</v>
      </c>
    </row>
    <row r="61" spans="7:18" x14ac:dyDescent="0.25">
      <c r="G61" t="s">
        <v>1130</v>
      </c>
      <c r="H61">
        <v>191</v>
      </c>
      <c r="J61" t="s">
        <v>1145</v>
      </c>
      <c r="K61">
        <v>373</v>
      </c>
      <c r="P61" t="s">
        <v>1201</v>
      </c>
      <c r="R61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PRET", "KLS_TYPE_COLLATERAL"</v>
      </c>
    </row>
    <row r="62" spans="7:18" x14ac:dyDescent="0.25">
      <c r="G62" t="s">
        <v>897</v>
      </c>
      <c r="H62">
        <v>210</v>
      </c>
      <c r="J62" t="s">
        <v>1146</v>
      </c>
      <c r="K62">
        <v>374</v>
      </c>
      <c r="P62" t="s">
        <v>1202</v>
      </c>
      <c r="R62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PRET", "KLS_TYPE_COLLATERAL", "KLS_TYPE_INVEST"</v>
      </c>
    </row>
    <row r="63" spans="7:18" x14ac:dyDescent="0.25">
      <c r="G63" t="s">
        <v>895</v>
      </c>
      <c r="H63">
        <v>211</v>
      </c>
      <c r="J63" t="s">
        <v>405</v>
      </c>
      <c r="K63">
        <v>387</v>
      </c>
      <c r="P63" t="s">
        <v>1207</v>
      </c>
      <c r="R63" t="str">
        <f t="shared" si="0"/>
        <v>{"ID", "TAG", "ENVELOPPE", "BASE_TRIMESTRE_REPORTING", "BASE_VALIDITE_COMMENTAIRE", "KLS_SIRET", "KLS_NUM PRET", "CLE_CORRESPONDANCE", "CLE_CORRESPONDANCE_2", "Clé Anomalie", "Commentaire", "KLS_NAME","KLS_NOM BENEFICIAIRE", "KLS_ADRESSE", "KLS_CODE POSTAL", "KLS_VILLE", "KLS_BRANCHE AGRI", "KLS_CALCUL ESB", "KLS_CHIFFRES AFFAIRES AU NIVEAU CONSOLIDE", "KLS_CODE NAF", "KLS_CR PRET", "KLS_CURRENCY", "EXCLUSION_REPORT", "BASE_DATE_MAJ_DOSSIER", "BASE_NUM_CR", "KLS_DATE 1ER DEBLOCAGE", "KLS_DATE CONTRACT OBJET FINANCEMENT", "KLS_DATE CREATION ENTREPRISE", "KLS_DATE DE DEFAUT", "KLS_DATE DE NAISSANCE DU SIGNATAIRE DU PRÊT", "KLS_DIFFERE PRET", "KLS_DUREE PRET", "KLS_ENTREPRISE DU GROUPE", "KLS_GENRE DU SIGNATAIRE DU PRÊT", "KLS_MODELE NOTATION", "KLS_MONTANT BFR", "KLS_MONTANT PRET APRES CONTRAT", "KLS_MONTANT PROJET CLIENT", "KLS_NBR EMPLOYES AU NIVEAU CONSOLIDE", "KLS_NIVEAU_COUV", "KLS_NOTATION EMPRUNTEUR", "KLS_PAYS", "KLS_PERIODICITE DU PRET", "KLS_PRODUCT CATEGORY", "KLS_PROFIL AMORT", "KLS_PUBLICATION INFORMATION BENEF", "KLS_REGION_NUTS2", "KLS_STATUT DOSSIER", "KLS_TAUX INTERET PRET", "KLS_TAUX REFERENCE", "KLS_THEMATIQUE INVEST", "KLS_TOTAL BILAN AU NIVEAU CONSOLIDE", "KLS_TYPE EMPRUNTEUR", "KLS_TYPE PRET", "KLS_TYPE_COLLATERAL", "KLS_TYPE_INVEST", "KLS_TYPE_INVEST_2"}</v>
      </c>
    </row>
    <row r="64" spans="7:18" x14ac:dyDescent="0.25">
      <c r="G64" t="s">
        <v>1019</v>
      </c>
      <c r="H64">
        <v>223</v>
      </c>
      <c r="J64" t="s">
        <v>407</v>
      </c>
      <c r="K64">
        <v>389</v>
      </c>
    </row>
    <row r="65" spans="7:18" x14ac:dyDescent="0.25">
      <c r="G65" t="s">
        <v>386</v>
      </c>
      <c r="H65">
        <v>253</v>
      </c>
      <c r="J65" t="s">
        <v>406</v>
      </c>
      <c r="K65">
        <v>390</v>
      </c>
    </row>
    <row r="66" spans="7:18" x14ac:dyDescent="0.25">
      <c r="G66" t="s">
        <v>890</v>
      </c>
      <c r="H66">
        <v>254</v>
      </c>
      <c r="J66" t="s">
        <v>964</v>
      </c>
      <c r="K66">
        <v>391</v>
      </c>
    </row>
    <row r="67" spans="7:18" x14ac:dyDescent="0.25">
      <c r="G67" t="s">
        <v>409</v>
      </c>
      <c r="H67">
        <v>258</v>
      </c>
      <c r="J67" t="s">
        <v>959</v>
      </c>
      <c r="K67">
        <v>393</v>
      </c>
    </row>
    <row r="68" spans="7:18" x14ac:dyDescent="0.25">
      <c r="G68" t="s">
        <v>1131</v>
      </c>
      <c r="H68">
        <v>264</v>
      </c>
      <c r="J68" t="s">
        <v>960</v>
      </c>
      <c r="K68">
        <v>394</v>
      </c>
      <c r="R68" t="s">
        <v>1208</v>
      </c>
    </row>
    <row r="69" spans="7:18" x14ac:dyDescent="0.25">
      <c r="G69" t="s">
        <v>1022</v>
      </c>
      <c r="H69">
        <v>297</v>
      </c>
      <c r="J69" t="s">
        <v>1147</v>
      </c>
      <c r="K69">
        <v>397</v>
      </c>
    </row>
    <row r="70" spans="7:18" x14ac:dyDescent="0.25">
      <c r="G70" t="s">
        <v>1056</v>
      </c>
      <c r="H70">
        <v>358</v>
      </c>
      <c r="J70" t="s">
        <v>927</v>
      </c>
      <c r="K70">
        <v>448</v>
      </c>
    </row>
    <row r="71" spans="7:18" x14ac:dyDescent="0.25">
      <c r="G71" t="s">
        <v>962</v>
      </c>
      <c r="H71">
        <v>359</v>
      </c>
      <c r="J71" t="s">
        <v>1040</v>
      </c>
      <c r="K71">
        <v>450</v>
      </c>
    </row>
    <row r="72" spans="7:18" x14ac:dyDescent="0.25">
      <c r="G72" t="s">
        <v>1140</v>
      </c>
      <c r="H72">
        <v>363</v>
      </c>
      <c r="J72" t="s">
        <v>1041</v>
      </c>
      <c r="K72">
        <v>452</v>
      </c>
    </row>
    <row r="73" spans="7:18" x14ac:dyDescent="0.25">
      <c r="G73" t="s">
        <v>1016</v>
      </c>
      <c r="H73">
        <v>364</v>
      </c>
      <c r="J73" t="s">
        <v>127</v>
      </c>
      <c r="K73">
        <v>529</v>
      </c>
    </row>
    <row r="74" spans="7:18" x14ac:dyDescent="0.25">
      <c r="G74" t="s">
        <v>963</v>
      </c>
      <c r="H74">
        <v>365</v>
      </c>
      <c r="J74" t="s">
        <v>948</v>
      </c>
      <c r="K74">
        <v>530</v>
      </c>
    </row>
    <row r="75" spans="7:18" x14ac:dyDescent="0.25">
      <c r="G75" t="s">
        <v>946</v>
      </c>
      <c r="H75">
        <v>372</v>
      </c>
      <c r="J75" t="s">
        <v>950</v>
      </c>
      <c r="K75">
        <v>537</v>
      </c>
    </row>
    <row r="76" spans="7:18" x14ac:dyDescent="0.25">
      <c r="G76" t="s">
        <v>1017</v>
      </c>
      <c r="H76">
        <v>373</v>
      </c>
      <c r="J76" t="s">
        <v>1021</v>
      </c>
      <c r="K76">
        <v>549</v>
      </c>
    </row>
    <row r="77" spans="7:18" x14ac:dyDescent="0.25">
      <c r="G77" t="s">
        <v>1018</v>
      </c>
      <c r="H77">
        <v>374</v>
      </c>
      <c r="J77" t="s">
        <v>1129</v>
      </c>
      <c r="K77">
        <v>727</v>
      </c>
    </row>
    <row r="78" spans="7:18" x14ac:dyDescent="0.25">
      <c r="G78" t="s">
        <v>405</v>
      </c>
      <c r="H78">
        <v>387</v>
      </c>
    </row>
    <row r="79" spans="7:18" x14ac:dyDescent="0.25">
      <c r="G79" t="s">
        <v>407</v>
      </c>
      <c r="H79">
        <v>389</v>
      </c>
    </row>
    <row r="80" spans="7:18" x14ac:dyDescent="0.25">
      <c r="G80" t="s">
        <v>406</v>
      </c>
      <c r="H80">
        <v>390</v>
      </c>
    </row>
    <row r="81" spans="7:8" x14ac:dyDescent="0.25">
      <c r="G81" t="s">
        <v>964</v>
      </c>
      <c r="H81">
        <v>391</v>
      </c>
    </row>
    <row r="82" spans="7:8" x14ac:dyDescent="0.25">
      <c r="G82" t="s">
        <v>959</v>
      </c>
      <c r="H82">
        <v>393</v>
      </c>
    </row>
    <row r="83" spans="7:8" x14ac:dyDescent="0.25">
      <c r="G83" t="s">
        <v>1120</v>
      </c>
      <c r="H83">
        <v>394</v>
      </c>
    </row>
    <row r="84" spans="7:8" x14ac:dyDescent="0.25">
      <c r="G84" t="s">
        <v>1047</v>
      </c>
      <c r="H84">
        <v>395</v>
      </c>
    </row>
    <row r="85" spans="7:8" x14ac:dyDescent="0.25">
      <c r="G85" t="s">
        <v>1053</v>
      </c>
      <c r="H85">
        <v>397</v>
      </c>
    </row>
    <row r="86" spans="7:8" x14ac:dyDescent="0.25">
      <c r="G86" t="s">
        <v>1054</v>
      </c>
      <c r="H86">
        <v>398</v>
      </c>
    </row>
    <row r="87" spans="7:8" x14ac:dyDescent="0.25">
      <c r="G87" t="s">
        <v>1055</v>
      </c>
      <c r="H87">
        <v>399</v>
      </c>
    </row>
    <row r="88" spans="7:8" x14ac:dyDescent="0.25">
      <c r="G88" t="s">
        <v>927</v>
      </c>
      <c r="H88">
        <v>448</v>
      </c>
    </row>
    <row r="89" spans="7:8" x14ac:dyDescent="0.25">
      <c r="G89" t="s">
        <v>1040</v>
      </c>
      <c r="H89">
        <v>450</v>
      </c>
    </row>
    <row r="90" spans="7:8" x14ac:dyDescent="0.25">
      <c r="G90" t="s">
        <v>1041</v>
      </c>
      <c r="H90">
        <v>452</v>
      </c>
    </row>
    <row r="91" spans="7:8" x14ac:dyDescent="0.25">
      <c r="G91" t="s">
        <v>1048</v>
      </c>
      <c r="H91">
        <v>471</v>
      </c>
    </row>
    <row r="92" spans="7:8" x14ac:dyDescent="0.25">
      <c r="G92" t="s">
        <v>1117</v>
      </c>
      <c r="H92">
        <v>477</v>
      </c>
    </row>
    <row r="93" spans="7:8" x14ac:dyDescent="0.25">
      <c r="G93" t="s">
        <v>948</v>
      </c>
      <c r="H93">
        <v>529</v>
      </c>
    </row>
    <row r="94" spans="7:8" x14ac:dyDescent="0.25">
      <c r="G94" t="s">
        <v>950</v>
      </c>
      <c r="H94">
        <v>530</v>
      </c>
    </row>
    <row r="95" spans="7:8" x14ac:dyDescent="0.25">
      <c r="G95" t="s">
        <v>1021</v>
      </c>
      <c r="H95">
        <v>537</v>
      </c>
    </row>
    <row r="96" spans="7:8" x14ac:dyDescent="0.25">
      <c r="G96" t="s">
        <v>1091</v>
      </c>
      <c r="H96">
        <v>549</v>
      </c>
    </row>
    <row r="97" spans="7:8" x14ac:dyDescent="0.25">
      <c r="G97" t="s">
        <v>960</v>
      </c>
      <c r="H97">
        <v>557</v>
      </c>
    </row>
    <row r="98" spans="7:8" x14ac:dyDescent="0.25">
      <c r="G98" t="s">
        <v>1046</v>
      </c>
      <c r="H98">
        <v>632</v>
      </c>
    </row>
    <row r="99" spans="7:8" x14ac:dyDescent="0.25">
      <c r="G99" t="s">
        <v>1129</v>
      </c>
      <c r="H99">
        <v>726</v>
      </c>
    </row>
    <row r="100" spans="7:8" x14ac:dyDescent="0.25">
      <c r="H100">
        <v>727</v>
      </c>
    </row>
  </sheetData>
  <sortState xmlns:xlrd2="http://schemas.microsoft.com/office/spreadsheetml/2017/richdata2" ref="G6:H759">
    <sortCondition ref="H6:H7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238A-3D5E-46CF-A1AD-F57668894201}">
  <dimension ref="G6:BL115"/>
  <sheetViews>
    <sheetView workbookViewId="0"/>
  </sheetViews>
  <sheetFormatPr baseColWidth="10" defaultRowHeight="15" x14ac:dyDescent="0.25"/>
  <cols>
    <col min="7" max="7" width="45.85546875" bestFit="1" customWidth="1"/>
  </cols>
  <sheetData>
    <row r="6" spans="9:64" x14ac:dyDescent="0.25">
      <c r="I6" t="s">
        <v>1149</v>
      </c>
      <c r="J6" t="s">
        <v>1150</v>
      </c>
      <c r="K6" t="s">
        <v>1151</v>
      </c>
      <c r="L6" t="s">
        <v>1152</v>
      </c>
      <c r="M6" t="s">
        <v>1153</v>
      </c>
      <c r="N6" t="s">
        <v>1154</v>
      </c>
      <c r="O6" t="s">
        <v>1155</v>
      </c>
      <c r="P6" t="s">
        <v>1156</v>
      </c>
      <c r="Q6" t="s">
        <v>1157</v>
      </c>
      <c r="R6" t="s">
        <v>1158</v>
      </c>
      <c r="S6" t="s">
        <v>1159</v>
      </c>
      <c r="T6" t="s">
        <v>1160</v>
      </c>
      <c r="U6" t="s">
        <v>1161</v>
      </c>
      <c r="V6" t="s">
        <v>1162</v>
      </c>
      <c r="W6" t="s">
        <v>1163</v>
      </c>
      <c r="X6" t="s">
        <v>1164</v>
      </c>
      <c r="Y6" t="s">
        <v>1165</v>
      </c>
      <c r="Z6" t="s">
        <v>1166</v>
      </c>
      <c r="AA6" t="s">
        <v>1167</v>
      </c>
      <c r="AB6" t="s">
        <v>1168</v>
      </c>
      <c r="AC6" t="s">
        <v>1169</v>
      </c>
      <c r="AD6" t="s">
        <v>1170</v>
      </c>
      <c r="AE6" t="s">
        <v>1171</v>
      </c>
      <c r="AF6" t="s">
        <v>1172</v>
      </c>
      <c r="AG6" t="s">
        <v>1173</v>
      </c>
      <c r="AH6" t="s">
        <v>1174</v>
      </c>
      <c r="AI6" t="s">
        <v>1175</v>
      </c>
      <c r="AJ6" t="s">
        <v>1176</v>
      </c>
      <c r="AK6" t="s">
        <v>1177</v>
      </c>
      <c r="AL6" t="s">
        <v>1178</v>
      </c>
      <c r="AM6" t="s">
        <v>1179</v>
      </c>
      <c r="AN6" t="s">
        <v>1180</v>
      </c>
      <c r="AO6" t="s">
        <v>1181</v>
      </c>
      <c r="AP6" t="s">
        <v>1182</v>
      </c>
      <c r="AQ6" t="s">
        <v>1183</v>
      </c>
      <c r="AR6" t="s">
        <v>1184</v>
      </c>
      <c r="AS6" t="s">
        <v>1185</v>
      </c>
      <c r="AT6" t="s">
        <v>1186</v>
      </c>
      <c r="AU6" t="s">
        <v>1187</v>
      </c>
      <c r="AV6" t="s">
        <v>1188</v>
      </c>
      <c r="AW6" t="s">
        <v>1189</v>
      </c>
      <c r="AX6" t="s">
        <v>1190</v>
      </c>
      <c r="AY6" t="s">
        <v>1191</v>
      </c>
      <c r="AZ6" t="s">
        <v>1192</v>
      </c>
      <c r="BA6" t="s">
        <v>1193</v>
      </c>
      <c r="BB6" t="s">
        <v>1194</v>
      </c>
      <c r="BC6" t="s">
        <v>1195</v>
      </c>
      <c r="BD6" t="s">
        <v>1196</v>
      </c>
      <c r="BE6" t="s">
        <v>1197</v>
      </c>
      <c r="BF6" t="s">
        <v>1198</v>
      </c>
      <c r="BG6" t="s">
        <v>1199</v>
      </c>
      <c r="BH6" t="s">
        <v>1200</v>
      </c>
      <c r="BI6" t="s">
        <v>1201</v>
      </c>
      <c r="BJ6" t="s">
        <v>1202</v>
      </c>
      <c r="BK6" t="s">
        <v>1203</v>
      </c>
      <c r="BL6" t="s">
        <v>1204</v>
      </c>
    </row>
    <row r="17" spans="7:8" x14ac:dyDescent="0.25">
      <c r="G17" s="78" t="s">
        <v>1209</v>
      </c>
      <c r="H17">
        <v>1</v>
      </c>
    </row>
    <row r="18" spans="7:8" x14ac:dyDescent="0.25">
      <c r="G18" s="79" t="s">
        <v>1210</v>
      </c>
      <c r="H18">
        <f>H17+1</f>
        <v>2</v>
      </c>
    </row>
    <row r="19" spans="7:8" x14ac:dyDescent="0.25">
      <c r="G19" s="79" t="s">
        <v>254</v>
      </c>
      <c r="H19">
        <f t="shared" ref="H19:H72" si="0">H18+1</f>
        <v>3</v>
      </c>
    </row>
    <row r="20" spans="7:8" x14ac:dyDescent="0.25">
      <c r="G20" s="79" t="s">
        <v>1211</v>
      </c>
      <c r="H20">
        <f t="shared" si="0"/>
        <v>4</v>
      </c>
    </row>
    <row r="21" spans="7:8" x14ac:dyDescent="0.25">
      <c r="G21" s="79" t="s">
        <v>1212</v>
      </c>
      <c r="H21">
        <f t="shared" si="0"/>
        <v>5</v>
      </c>
    </row>
    <row r="22" spans="7:8" x14ac:dyDescent="0.25">
      <c r="G22" s="79" t="s">
        <v>468</v>
      </c>
      <c r="H22">
        <f t="shared" si="0"/>
        <v>6</v>
      </c>
    </row>
    <row r="23" spans="7:8" x14ac:dyDescent="0.25">
      <c r="G23" s="79" t="s">
        <v>472</v>
      </c>
      <c r="H23">
        <f t="shared" si="0"/>
        <v>7</v>
      </c>
    </row>
    <row r="24" spans="7:8" x14ac:dyDescent="0.25">
      <c r="G24" s="80" t="s">
        <v>1213</v>
      </c>
      <c r="H24">
        <f t="shared" si="0"/>
        <v>8</v>
      </c>
    </row>
    <row r="25" spans="7:8" x14ac:dyDescent="0.25">
      <c r="G25" s="79" t="s">
        <v>1214</v>
      </c>
      <c r="H25">
        <f t="shared" si="0"/>
        <v>9</v>
      </c>
    </row>
    <row r="26" spans="7:8" x14ac:dyDescent="0.25">
      <c r="G26" s="79" t="s">
        <v>1215</v>
      </c>
      <c r="H26">
        <f t="shared" si="0"/>
        <v>10</v>
      </c>
    </row>
    <row r="27" spans="7:8" x14ac:dyDescent="0.25">
      <c r="G27" s="79" t="s">
        <v>1119</v>
      </c>
      <c r="H27">
        <f t="shared" si="0"/>
        <v>11</v>
      </c>
    </row>
    <row r="28" spans="7:8" x14ac:dyDescent="0.25">
      <c r="G28" s="79" t="s">
        <v>847</v>
      </c>
      <c r="H28">
        <f t="shared" si="0"/>
        <v>12</v>
      </c>
    </row>
    <row r="29" spans="7:8" x14ac:dyDescent="0.25">
      <c r="G29" s="79" t="s">
        <v>471</v>
      </c>
      <c r="H29">
        <f t="shared" si="0"/>
        <v>13</v>
      </c>
    </row>
    <row r="30" spans="7:8" x14ac:dyDescent="0.25">
      <c r="G30" s="79" t="s">
        <v>428</v>
      </c>
      <c r="H30">
        <f t="shared" si="0"/>
        <v>14</v>
      </c>
    </row>
    <row r="31" spans="7:8" x14ac:dyDescent="0.25">
      <c r="G31" s="79" t="s">
        <v>507</v>
      </c>
      <c r="H31">
        <f t="shared" si="0"/>
        <v>15</v>
      </c>
    </row>
    <row r="32" spans="7:8" x14ac:dyDescent="0.25">
      <c r="G32" s="79" t="s">
        <v>424</v>
      </c>
      <c r="H32">
        <f t="shared" si="0"/>
        <v>16</v>
      </c>
    </row>
    <row r="33" spans="7:15" x14ac:dyDescent="0.25">
      <c r="G33" s="79" t="s">
        <v>425</v>
      </c>
      <c r="H33">
        <f t="shared" si="0"/>
        <v>17</v>
      </c>
    </row>
    <row r="34" spans="7:15" x14ac:dyDescent="0.25">
      <c r="G34" s="79" t="s">
        <v>916</v>
      </c>
      <c r="H34">
        <f t="shared" si="0"/>
        <v>18</v>
      </c>
    </row>
    <row r="35" spans="7:15" x14ac:dyDescent="0.25">
      <c r="G35" s="79" t="s">
        <v>827</v>
      </c>
      <c r="H35">
        <f t="shared" si="0"/>
        <v>19</v>
      </c>
      <c r="O35" t="s">
        <v>824</v>
      </c>
    </row>
    <row r="36" spans="7:15" x14ac:dyDescent="0.25">
      <c r="G36" s="79" t="s">
        <v>429</v>
      </c>
      <c r="H36">
        <f t="shared" si="0"/>
        <v>20</v>
      </c>
      <c r="O36" t="s">
        <v>424</v>
      </c>
    </row>
    <row r="37" spans="7:15" x14ac:dyDescent="0.25">
      <c r="G37" s="79" t="s">
        <v>509</v>
      </c>
      <c r="H37">
        <f t="shared" si="0"/>
        <v>21</v>
      </c>
      <c r="O37" t="s">
        <v>425</v>
      </c>
    </row>
    <row r="38" spans="7:15" x14ac:dyDescent="0.25">
      <c r="G38" s="79" t="s">
        <v>1216</v>
      </c>
      <c r="H38">
        <f t="shared" si="0"/>
        <v>22</v>
      </c>
      <c r="O38" t="s">
        <v>426</v>
      </c>
    </row>
    <row r="39" spans="7:15" x14ac:dyDescent="0.25">
      <c r="G39" s="79" t="s">
        <v>1217</v>
      </c>
      <c r="H39">
        <f t="shared" si="0"/>
        <v>23</v>
      </c>
      <c r="O39" t="s">
        <v>916</v>
      </c>
    </row>
    <row r="40" spans="7:15" x14ac:dyDescent="0.25">
      <c r="G40" s="79" t="s">
        <v>1218</v>
      </c>
      <c r="H40">
        <f t="shared" si="0"/>
        <v>24</v>
      </c>
      <c r="O40" t="s">
        <v>827</v>
      </c>
    </row>
    <row r="41" spans="7:15" x14ac:dyDescent="0.25">
      <c r="G41" s="79" t="s">
        <v>435</v>
      </c>
      <c r="H41">
        <f t="shared" si="0"/>
        <v>25</v>
      </c>
      <c r="O41" t="s">
        <v>428</v>
      </c>
    </row>
    <row r="42" spans="7:15" x14ac:dyDescent="0.25">
      <c r="G42" s="79" t="s">
        <v>430</v>
      </c>
      <c r="H42">
        <f t="shared" si="0"/>
        <v>26</v>
      </c>
      <c r="O42" t="s">
        <v>429</v>
      </c>
    </row>
    <row r="43" spans="7:15" x14ac:dyDescent="0.25">
      <c r="G43" s="79" t="s">
        <v>431</v>
      </c>
      <c r="H43">
        <f t="shared" si="0"/>
        <v>27</v>
      </c>
      <c r="O43" t="s">
        <v>430</v>
      </c>
    </row>
    <row r="44" spans="7:15" x14ac:dyDescent="0.25">
      <c r="G44" s="79" t="s">
        <v>1125</v>
      </c>
      <c r="H44">
        <f t="shared" si="0"/>
        <v>28</v>
      </c>
      <c r="O44" t="s">
        <v>431</v>
      </c>
    </row>
    <row r="45" spans="7:15" x14ac:dyDescent="0.25">
      <c r="G45" s="79" t="s">
        <v>923</v>
      </c>
      <c r="H45">
        <f t="shared" si="0"/>
        <v>29</v>
      </c>
      <c r="O45" t="s">
        <v>433</v>
      </c>
    </row>
    <row r="46" spans="7:15" x14ac:dyDescent="0.25">
      <c r="G46" s="79" t="s">
        <v>446</v>
      </c>
      <c r="H46">
        <f t="shared" si="0"/>
        <v>30</v>
      </c>
      <c r="O46" t="s">
        <v>435</v>
      </c>
    </row>
    <row r="47" spans="7:15" x14ac:dyDescent="0.25">
      <c r="G47" s="79" t="s">
        <v>448</v>
      </c>
      <c r="H47">
        <f t="shared" si="0"/>
        <v>31</v>
      </c>
      <c r="O47" t="s">
        <v>437</v>
      </c>
    </row>
    <row r="48" spans="7:15" x14ac:dyDescent="0.25">
      <c r="G48" s="79" t="s">
        <v>454</v>
      </c>
      <c r="H48">
        <f t="shared" si="0"/>
        <v>32</v>
      </c>
      <c r="O48" t="s">
        <v>439</v>
      </c>
    </row>
    <row r="49" spans="7:15" x14ac:dyDescent="0.25">
      <c r="G49" s="79" t="s">
        <v>924</v>
      </c>
      <c r="H49">
        <f t="shared" si="0"/>
        <v>33</v>
      </c>
      <c r="O49" t="s">
        <v>1139</v>
      </c>
    </row>
    <row r="50" spans="7:15" x14ac:dyDescent="0.25">
      <c r="G50" s="79" t="s">
        <v>455</v>
      </c>
      <c r="H50">
        <f t="shared" si="0"/>
        <v>34</v>
      </c>
      <c r="O50" t="s">
        <v>1136</v>
      </c>
    </row>
    <row r="51" spans="7:15" x14ac:dyDescent="0.25">
      <c r="G51" s="79" t="s">
        <v>457</v>
      </c>
      <c r="H51">
        <f t="shared" si="0"/>
        <v>35</v>
      </c>
      <c r="O51" t="s">
        <v>1133</v>
      </c>
    </row>
    <row r="52" spans="7:15" x14ac:dyDescent="0.25">
      <c r="G52" s="79" t="s">
        <v>461</v>
      </c>
      <c r="H52">
        <f t="shared" si="0"/>
        <v>36</v>
      </c>
      <c r="O52" t="s">
        <v>442</v>
      </c>
    </row>
    <row r="53" spans="7:15" x14ac:dyDescent="0.25">
      <c r="G53" s="79" t="s">
        <v>465</v>
      </c>
      <c r="H53">
        <f t="shared" si="0"/>
        <v>37</v>
      </c>
      <c r="O53" t="s">
        <v>444</v>
      </c>
    </row>
    <row r="54" spans="7:15" x14ac:dyDescent="0.25">
      <c r="G54" s="79" t="s">
        <v>918</v>
      </c>
      <c r="H54">
        <f t="shared" si="0"/>
        <v>38</v>
      </c>
      <c r="O54" t="s">
        <v>509</v>
      </c>
    </row>
    <row r="55" spans="7:15" x14ac:dyDescent="0.25">
      <c r="G55" s="79" t="s">
        <v>871</v>
      </c>
      <c r="H55">
        <f t="shared" si="0"/>
        <v>39</v>
      </c>
      <c r="O55" t="s">
        <v>446</v>
      </c>
    </row>
    <row r="56" spans="7:15" x14ac:dyDescent="0.25">
      <c r="G56" s="79" t="s">
        <v>476</v>
      </c>
      <c r="H56">
        <f t="shared" si="0"/>
        <v>40</v>
      </c>
      <c r="O56" t="s">
        <v>448</v>
      </c>
    </row>
    <row r="57" spans="7:15" x14ac:dyDescent="0.25">
      <c r="G57" s="79" t="s">
        <v>479</v>
      </c>
      <c r="H57">
        <f t="shared" si="0"/>
        <v>41</v>
      </c>
      <c r="O57" t="s">
        <v>450</v>
      </c>
    </row>
    <row r="58" spans="7:15" x14ac:dyDescent="0.25">
      <c r="G58" s="79" t="s">
        <v>481</v>
      </c>
      <c r="H58">
        <f t="shared" si="0"/>
        <v>42</v>
      </c>
      <c r="O58" t="s">
        <v>452</v>
      </c>
    </row>
    <row r="59" spans="7:15" x14ac:dyDescent="0.25">
      <c r="G59" s="79" t="s">
        <v>485</v>
      </c>
      <c r="H59">
        <f t="shared" si="0"/>
        <v>43</v>
      </c>
      <c r="O59" t="s">
        <v>453</v>
      </c>
    </row>
    <row r="60" spans="7:15" x14ac:dyDescent="0.25">
      <c r="G60" s="79" t="s">
        <v>487</v>
      </c>
      <c r="H60">
        <f t="shared" si="0"/>
        <v>44</v>
      </c>
      <c r="O60" t="s">
        <v>454</v>
      </c>
    </row>
    <row r="61" spans="7:15" x14ac:dyDescent="0.25">
      <c r="G61" s="79" t="s">
        <v>824</v>
      </c>
      <c r="H61">
        <f t="shared" si="0"/>
        <v>45</v>
      </c>
      <c r="O61" t="s">
        <v>455</v>
      </c>
    </row>
    <row r="62" spans="7:15" x14ac:dyDescent="0.25">
      <c r="G62" s="79" t="s">
        <v>1139</v>
      </c>
      <c r="H62">
        <f t="shared" si="0"/>
        <v>46</v>
      </c>
      <c r="O62" t="s">
        <v>457</v>
      </c>
    </row>
    <row r="63" spans="7:15" x14ac:dyDescent="0.25">
      <c r="G63" s="79" t="s">
        <v>491</v>
      </c>
      <c r="H63">
        <f t="shared" si="0"/>
        <v>47</v>
      </c>
      <c r="O63" t="s">
        <v>459</v>
      </c>
    </row>
    <row r="64" spans="7:15" x14ac:dyDescent="0.25">
      <c r="G64" s="79" t="s">
        <v>494</v>
      </c>
      <c r="H64">
        <f t="shared" si="0"/>
        <v>48</v>
      </c>
      <c r="O64" t="s">
        <v>461</v>
      </c>
    </row>
    <row r="65" spans="7:15" x14ac:dyDescent="0.25">
      <c r="G65" s="79" t="s">
        <v>496</v>
      </c>
      <c r="H65">
        <f t="shared" si="0"/>
        <v>49</v>
      </c>
      <c r="O65" t="s">
        <v>463</v>
      </c>
    </row>
    <row r="66" spans="7:15" x14ac:dyDescent="0.25">
      <c r="G66" s="79" t="s">
        <v>497</v>
      </c>
      <c r="H66">
        <f t="shared" si="0"/>
        <v>50</v>
      </c>
      <c r="O66" t="s">
        <v>465</v>
      </c>
    </row>
    <row r="67" spans="7:15" x14ac:dyDescent="0.25">
      <c r="G67" s="79" t="s">
        <v>917</v>
      </c>
      <c r="H67">
        <f t="shared" si="0"/>
        <v>51</v>
      </c>
      <c r="O67" t="s">
        <v>467</v>
      </c>
    </row>
    <row r="68" spans="7:15" x14ac:dyDescent="0.25">
      <c r="G68" s="79" t="s">
        <v>505</v>
      </c>
      <c r="H68">
        <f t="shared" si="0"/>
        <v>52</v>
      </c>
      <c r="O68" t="s">
        <v>468</v>
      </c>
    </row>
    <row r="69" spans="7:15" x14ac:dyDescent="0.25">
      <c r="G69" s="79" t="s">
        <v>504</v>
      </c>
      <c r="H69">
        <f t="shared" si="0"/>
        <v>53</v>
      </c>
      <c r="O69" t="s">
        <v>469</v>
      </c>
    </row>
    <row r="70" spans="7:15" x14ac:dyDescent="0.25">
      <c r="G70" s="79" t="s">
        <v>870</v>
      </c>
      <c r="H70">
        <f t="shared" si="0"/>
        <v>54</v>
      </c>
      <c r="O70" t="s">
        <v>471</v>
      </c>
    </row>
    <row r="71" spans="7:15" x14ac:dyDescent="0.25">
      <c r="G71" s="79" t="s">
        <v>868</v>
      </c>
      <c r="H71">
        <f t="shared" si="0"/>
        <v>55</v>
      </c>
      <c r="O71" t="s">
        <v>472</v>
      </c>
    </row>
    <row r="72" spans="7:15" x14ac:dyDescent="0.25">
      <c r="G72" s="81" t="s">
        <v>1020</v>
      </c>
      <c r="H72">
        <f t="shared" si="0"/>
        <v>56</v>
      </c>
      <c r="O72" t="s">
        <v>878</v>
      </c>
    </row>
    <row r="73" spans="7:15" x14ac:dyDescent="0.25">
      <c r="O73" t="s">
        <v>474</v>
      </c>
    </row>
    <row r="74" spans="7:15" x14ac:dyDescent="0.25">
      <c r="O74" t="s">
        <v>918</v>
      </c>
    </row>
    <row r="75" spans="7:15" x14ac:dyDescent="0.25">
      <c r="O75" t="s">
        <v>476</v>
      </c>
    </row>
    <row r="76" spans="7:15" x14ac:dyDescent="0.25">
      <c r="O76" t="s">
        <v>477</v>
      </c>
    </row>
    <row r="77" spans="7:15" x14ac:dyDescent="0.25">
      <c r="O77" t="s">
        <v>479</v>
      </c>
    </row>
    <row r="78" spans="7:15" x14ac:dyDescent="0.25">
      <c r="O78" t="s">
        <v>880</v>
      </c>
    </row>
    <row r="79" spans="7:15" x14ac:dyDescent="0.25">
      <c r="O79" t="s">
        <v>481</v>
      </c>
    </row>
    <row r="80" spans="7:15" x14ac:dyDescent="0.25">
      <c r="O80" t="s">
        <v>483</v>
      </c>
    </row>
    <row r="81" spans="15:15" x14ac:dyDescent="0.25">
      <c r="O81" t="s">
        <v>485</v>
      </c>
    </row>
    <row r="82" spans="15:15" x14ac:dyDescent="0.25">
      <c r="O82" t="s">
        <v>487</v>
      </c>
    </row>
    <row r="83" spans="15:15" x14ac:dyDescent="0.25">
      <c r="O83" t="s">
        <v>488</v>
      </c>
    </row>
    <row r="84" spans="15:15" x14ac:dyDescent="0.25">
      <c r="O84" t="s">
        <v>847</v>
      </c>
    </row>
    <row r="85" spans="15:15" x14ac:dyDescent="0.25">
      <c r="O85" t="s">
        <v>491</v>
      </c>
    </row>
    <row r="86" spans="15:15" x14ac:dyDescent="0.25">
      <c r="O86" t="s">
        <v>492</v>
      </c>
    </row>
    <row r="87" spans="15:15" x14ac:dyDescent="0.25">
      <c r="O87" t="s">
        <v>494</v>
      </c>
    </row>
    <row r="88" spans="15:15" x14ac:dyDescent="0.25">
      <c r="O88" t="s">
        <v>496</v>
      </c>
    </row>
    <row r="89" spans="15:15" x14ac:dyDescent="0.25">
      <c r="O89" t="s">
        <v>497</v>
      </c>
    </row>
    <row r="90" spans="15:15" x14ac:dyDescent="0.25">
      <c r="O90" t="s">
        <v>499</v>
      </c>
    </row>
    <row r="91" spans="15:15" x14ac:dyDescent="0.25">
      <c r="O91" t="s">
        <v>917</v>
      </c>
    </row>
    <row r="92" spans="15:15" x14ac:dyDescent="0.25">
      <c r="O92" t="s">
        <v>501</v>
      </c>
    </row>
    <row r="93" spans="15:15" x14ac:dyDescent="0.25">
      <c r="O93" t="s">
        <v>502</v>
      </c>
    </row>
    <row r="94" spans="15:15" x14ac:dyDescent="0.25">
      <c r="O94" t="s">
        <v>504</v>
      </c>
    </row>
    <row r="95" spans="15:15" x14ac:dyDescent="0.25">
      <c r="O95" t="s">
        <v>505</v>
      </c>
    </row>
    <row r="96" spans="15:15" x14ac:dyDescent="0.25">
      <c r="O96" t="s">
        <v>868</v>
      </c>
    </row>
    <row r="97" spans="15:15" x14ac:dyDescent="0.25">
      <c r="O97" t="s">
        <v>507</v>
      </c>
    </row>
    <row r="98" spans="15:15" x14ac:dyDescent="0.25">
      <c r="O98" t="s">
        <v>865</v>
      </c>
    </row>
    <row r="99" spans="15:15" x14ac:dyDescent="0.25">
      <c r="O99" t="s">
        <v>866</v>
      </c>
    </row>
    <row r="100" spans="15:15" x14ac:dyDescent="0.25">
      <c r="O100" t="s">
        <v>867</v>
      </c>
    </row>
    <row r="101" spans="15:15" x14ac:dyDescent="0.25">
      <c r="O101" t="s">
        <v>979</v>
      </c>
    </row>
    <row r="102" spans="15:15" x14ac:dyDescent="0.25">
      <c r="O102" t="s">
        <v>1020</v>
      </c>
    </row>
    <row r="103" spans="15:15" x14ac:dyDescent="0.25">
      <c r="O103" t="s">
        <v>869</v>
      </c>
    </row>
    <row r="104" spans="15:15" x14ac:dyDescent="0.25">
      <c r="O104" t="s">
        <v>870</v>
      </c>
    </row>
    <row r="105" spans="15:15" x14ac:dyDescent="0.25">
      <c r="O105" t="s">
        <v>871</v>
      </c>
    </row>
    <row r="106" spans="15:15" x14ac:dyDescent="0.25">
      <c r="O106" t="s">
        <v>872</v>
      </c>
    </row>
    <row r="107" spans="15:15" x14ac:dyDescent="0.25">
      <c r="O107" t="s">
        <v>873</v>
      </c>
    </row>
    <row r="108" spans="15:15" x14ac:dyDescent="0.25">
      <c r="O108" t="s">
        <v>874</v>
      </c>
    </row>
    <row r="109" spans="15:15" x14ac:dyDescent="0.25">
      <c r="O109" t="s">
        <v>875</v>
      </c>
    </row>
    <row r="110" spans="15:15" x14ac:dyDescent="0.25">
      <c r="O110" t="s">
        <v>876</v>
      </c>
    </row>
    <row r="111" spans="15:15" x14ac:dyDescent="0.25">
      <c r="O111" t="s">
        <v>920</v>
      </c>
    </row>
    <row r="112" spans="15:15" x14ac:dyDescent="0.25">
      <c r="O112" t="s">
        <v>922</v>
      </c>
    </row>
    <row r="113" spans="15:15" x14ac:dyDescent="0.25">
      <c r="O113" t="s">
        <v>923</v>
      </c>
    </row>
    <row r="114" spans="15:15" x14ac:dyDescent="0.25">
      <c r="O114" t="s">
        <v>924</v>
      </c>
    </row>
    <row r="115" spans="15:15" x14ac:dyDescent="0.25">
      <c r="O115" t="s">
        <v>1125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7EE9-6A9F-4666-BEA1-C619F37DD961}">
  <dimension ref="A2:H17"/>
  <sheetViews>
    <sheetView workbookViewId="0">
      <selection activeCell="D7" sqref="D7"/>
    </sheetView>
  </sheetViews>
  <sheetFormatPr baseColWidth="10" defaultRowHeight="15" x14ac:dyDescent="0.25"/>
  <sheetData>
    <row r="2" spans="1:8" x14ac:dyDescent="0.25">
      <c r="A2" s="52">
        <v>144</v>
      </c>
      <c r="B2" s="29" t="s">
        <v>188</v>
      </c>
      <c r="C2" s="13" t="s">
        <v>398</v>
      </c>
      <c r="D2" s="13" t="s">
        <v>380</v>
      </c>
      <c r="E2" s="13" t="s">
        <v>135</v>
      </c>
      <c r="F2" s="18" t="s">
        <v>17</v>
      </c>
      <c r="G2" s="13" t="s">
        <v>30</v>
      </c>
      <c r="H2" s="54"/>
    </row>
    <row r="3" spans="1:8" ht="25.5" x14ac:dyDescent="0.25">
      <c r="A3" s="52">
        <v>145</v>
      </c>
      <c r="B3" s="29" t="s">
        <v>188</v>
      </c>
      <c r="C3" s="13" t="s">
        <v>398</v>
      </c>
      <c r="D3" s="13" t="s">
        <v>380</v>
      </c>
      <c r="E3" s="13" t="s">
        <v>33</v>
      </c>
      <c r="F3" s="18" t="s">
        <v>69</v>
      </c>
      <c r="G3" s="13" t="s">
        <v>30</v>
      </c>
      <c r="H3" s="54" t="s">
        <v>114</v>
      </c>
    </row>
    <row r="4" spans="1:8" ht="25.5" x14ac:dyDescent="0.25">
      <c r="A4" s="52">
        <v>146</v>
      </c>
      <c r="B4" s="29" t="s">
        <v>188</v>
      </c>
      <c r="C4" s="13" t="s">
        <v>398</v>
      </c>
      <c r="D4" s="13" t="s">
        <v>380</v>
      </c>
      <c r="E4" s="13" t="s">
        <v>35</v>
      </c>
      <c r="F4" s="18" t="s">
        <v>99</v>
      </c>
      <c r="G4" s="13" t="s">
        <v>30</v>
      </c>
      <c r="H4" s="54"/>
    </row>
    <row r="5" spans="1:8" x14ac:dyDescent="0.25">
      <c r="A5" s="52">
        <v>147</v>
      </c>
      <c r="B5" s="29" t="s">
        <v>188</v>
      </c>
      <c r="C5" s="13" t="s">
        <v>398</v>
      </c>
      <c r="D5" s="13" t="s">
        <v>380</v>
      </c>
      <c r="E5" s="13" t="s">
        <v>183</v>
      </c>
      <c r="F5" s="18" t="s">
        <v>100</v>
      </c>
      <c r="G5" s="13" t="s">
        <v>30</v>
      </c>
      <c r="H5" s="54"/>
    </row>
    <row r="6" spans="1:8" x14ac:dyDescent="0.25">
      <c r="A6" s="52">
        <v>148</v>
      </c>
      <c r="B6" s="29" t="s">
        <v>188</v>
      </c>
      <c r="C6" s="13" t="s">
        <v>398</v>
      </c>
      <c r="D6" s="13" t="s">
        <v>380</v>
      </c>
      <c r="E6" s="13" t="s">
        <v>184</v>
      </c>
      <c r="F6" s="18" t="s">
        <v>89</v>
      </c>
      <c r="G6" s="13" t="s">
        <v>30</v>
      </c>
      <c r="H6" s="54"/>
    </row>
    <row r="7" spans="1:8" ht="25.5" x14ac:dyDescent="0.25">
      <c r="A7" s="52">
        <v>149</v>
      </c>
      <c r="B7" s="29" t="s">
        <v>188</v>
      </c>
      <c r="C7" s="13" t="s">
        <v>398</v>
      </c>
      <c r="D7" s="13" t="s">
        <v>380</v>
      </c>
      <c r="E7" s="13" t="s">
        <v>185</v>
      </c>
      <c r="F7" s="18" t="s">
        <v>101</v>
      </c>
      <c r="G7" s="13" t="s">
        <v>30</v>
      </c>
      <c r="H7" s="54"/>
    </row>
    <row r="8" spans="1:8" ht="25.5" x14ac:dyDescent="0.25">
      <c r="A8" s="52">
        <v>150</v>
      </c>
      <c r="B8" s="29" t="s">
        <v>188</v>
      </c>
      <c r="C8" s="13" t="s">
        <v>398</v>
      </c>
      <c r="D8" s="13" t="s">
        <v>380</v>
      </c>
      <c r="E8" s="13" t="s">
        <v>186</v>
      </c>
      <c r="F8" s="18" t="s">
        <v>257</v>
      </c>
      <c r="G8" s="13" t="s">
        <v>30</v>
      </c>
      <c r="H8" s="54"/>
    </row>
    <row r="9" spans="1:8" ht="25.5" x14ac:dyDescent="0.25">
      <c r="A9" s="52">
        <v>151</v>
      </c>
      <c r="B9" s="29" t="s">
        <v>188</v>
      </c>
      <c r="C9" s="13" t="s">
        <v>398</v>
      </c>
      <c r="D9" s="13" t="s">
        <v>380</v>
      </c>
      <c r="E9" s="13" t="s">
        <v>187</v>
      </c>
      <c r="F9" s="18" t="s">
        <v>258</v>
      </c>
      <c r="G9" s="13" t="s">
        <v>30</v>
      </c>
      <c r="H9" s="54"/>
    </row>
    <row r="10" spans="1:8" x14ac:dyDescent="0.25">
      <c r="A10" s="52">
        <v>845</v>
      </c>
      <c r="B10" s="29" t="s">
        <v>1294</v>
      </c>
      <c r="C10" s="13" t="s">
        <v>1302</v>
      </c>
      <c r="D10" s="13" t="s">
        <v>1303</v>
      </c>
      <c r="E10" s="13" t="s">
        <v>135</v>
      </c>
      <c r="F10" s="18" t="s">
        <v>17</v>
      </c>
      <c r="G10" s="13" t="s">
        <v>30</v>
      </c>
      <c r="H10" s="54"/>
    </row>
    <row r="11" spans="1:8" ht="25.5" x14ac:dyDescent="0.25">
      <c r="A11" s="52">
        <v>846</v>
      </c>
      <c r="B11" s="29" t="s">
        <v>1294</v>
      </c>
      <c r="C11" s="13" t="s">
        <v>1302</v>
      </c>
      <c r="D11" s="13" t="s">
        <v>1303</v>
      </c>
      <c r="E11" s="13" t="s">
        <v>33</v>
      </c>
      <c r="F11" s="18" t="s">
        <v>69</v>
      </c>
      <c r="G11" s="13" t="s">
        <v>30</v>
      </c>
      <c r="H11" s="54" t="s">
        <v>114</v>
      </c>
    </row>
    <row r="12" spans="1:8" ht="25.5" x14ac:dyDescent="0.25">
      <c r="A12" s="52">
        <v>847</v>
      </c>
      <c r="B12" s="29" t="s">
        <v>1294</v>
      </c>
      <c r="C12" s="13" t="s">
        <v>1302</v>
      </c>
      <c r="D12" s="13" t="s">
        <v>1303</v>
      </c>
      <c r="E12" s="13" t="s">
        <v>35</v>
      </c>
      <c r="F12" s="18" t="s">
        <v>99</v>
      </c>
      <c r="G12" s="13" t="s">
        <v>30</v>
      </c>
      <c r="H12" s="54"/>
    </row>
    <row r="13" spans="1:8" x14ac:dyDescent="0.25">
      <c r="A13" s="52">
        <v>848</v>
      </c>
      <c r="B13" s="29" t="s">
        <v>1294</v>
      </c>
      <c r="C13" s="13" t="s">
        <v>1302</v>
      </c>
      <c r="D13" s="13" t="s">
        <v>1303</v>
      </c>
      <c r="E13" s="13" t="s">
        <v>183</v>
      </c>
      <c r="F13" s="18" t="s">
        <v>100</v>
      </c>
      <c r="G13" s="13" t="s">
        <v>30</v>
      </c>
      <c r="H13" s="54"/>
    </row>
    <row r="14" spans="1:8" x14ac:dyDescent="0.25">
      <c r="A14" s="52">
        <v>849</v>
      </c>
      <c r="B14" s="29" t="s">
        <v>1294</v>
      </c>
      <c r="C14" s="13" t="s">
        <v>1302</v>
      </c>
      <c r="D14" s="13" t="s">
        <v>1303</v>
      </c>
      <c r="E14" s="13" t="s">
        <v>184</v>
      </c>
      <c r="F14" s="18" t="s">
        <v>89</v>
      </c>
      <c r="G14" s="13" t="s">
        <v>30</v>
      </c>
      <c r="H14" s="54"/>
    </row>
    <row r="15" spans="1:8" ht="25.5" x14ac:dyDescent="0.25">
      <c r="A15" s="52">
        <v>850</v>
      </c>
      <c r="B15" s="29" t="s">
        <v>1294</v>
      </c>
      <c r="C15" s="13" t="s">
        <v>1302</v>
      </c>
      <c r="D15" s="13" t="s">
        <v>1303</v>
      </c>
      <c r="E15" s="13" t="s">
        <v>185</v>
      </c>
      <c r="F15" s="18" t="s">
        <v>101</v>
      </c>
      <c r="G15" s="13" t="s">
        <v>30</v>
      </c>
      <c r="H15" s="54"/>
    </row>
    <row r="16" spans="1:8" ht="25.5" x14ac:dyDescent="0.25">
      <c r="A16" s="52">
        <v>851</v>
      </c>
      <c r="B16" s="29" t="s">
        <v>1294</v>
      </c>
      <c r="C16" s="13" t="s">
        <v>1302</v>
      </c>
      <c r="D16" s="13" t="s">
        <v>1303</v>
      </c>
      <c r="E16" s="13" t="s">
        <v>186</v>
      </c>
      <c r="F16" s="18" t="s">
        <v>257</v>
      </c>
      <c r="G16" s="13" t="s">
        <v>30</v>
      </c>
      <c r="H16" s="54"/>
    </row>
    <row r="17" spans="1:8" ht="25.5" x14ac:dyDescent="0.25">
      <c r="A17" s="52">
        <v>852</v>
      </c>
      <c r="B17" s="29" t="s">
        <v>1294</v>
      </c>
      <c r="C17" s="13" t="s">
        <v>1302</v>
      </c>
      <c r="D17" s="13" t="s">
        <v>1303</v>
      </c>
      <c r="E17" s="13" t="s">
        <v>187</v>
      </c>
      <c r="F17" s="18" t="s">
        <v>258</v>
      </c>
      <c r="G17" s="13" t="s">
        <v>30</v>
      </c>
      <c r="H1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FICHIER_SOURCE</vt:lpstr>
      <vt:lpstr>CALENDRIER</vt:lpstr>
      <vt:lpstr>CHAMP_VALIDE</vt:lpstr>
      <vt:lpstr>TRANSCO_CR</vt:lpstr>
      <vt:lpstr>ENTETE_REPORTING</vt:lpstr>
      <vt:lpstr>Feuil1</vt:lpstr>
      <vt:lpstr>Feuil2</vt:lpstr>
      <vt:lpstr>Feuil3</vt:lpstr>
    </vt:vector>
  </TitlesOfParts>
  <Company>SILCA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HURTADO VANESSA</dc:creator>
  <cp:lastModifiedBy>EKEWOU Edem (Credit Agricole S.A.)</cp:lastModifiedBy>
  <cp:lastPrinted>2025-11-26T13:30:34Z</cp:lastPrinted>
  <dcterms:created xsi:type="dcterms:W3CDTF">2023-04-19T13:02:51Z</dcterms:created>
  <dcterms:modified xsi:type="dcterms:W3CDTF">2026-06-10T07:50:37Z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2023-04-19T13:02:53Z</vt:lpwstr>
  </property>
  <property fmtid="{D5CDD505-2E9C-101B-9397-08002B2CF9AE}" pid="4" name="MSIP_Label_4cad6431-53ea-4466-8111-3fefa470bcb9_Method">
    <vt:lpwstr>Standard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4e7775b0-ab1e-4397-bbeb-bf175b501e4b</vt:lpwstr>
  </property>
  <property fmtid="{D5CDD505-2E9C-101B-9397-08002B2CF9AE}" pid="8" name="MSIP_Label_4cad6431-53ea-4466-8111-3fefa470bcb9_ContentBits">
    <vt:lpwstr>0</vt:lpwstr>
  </property>
</Properties>
</file>