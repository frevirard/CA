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J811HP\Desktop\453\XXX - MODELE\B - SPECIFICATIONS\01 - EDB ET RPD\"/>
    </mc:Choice>
  </mc:AlternateContent>
  <xr:revisionPtr revIDLastSave="0" documentId="13_ncr:1_{91A2D5E7-3404-4294-8CE5-85EF6B05F8D5}" xr6:coauthVersionLast="47" xr6:coauthVersionMax="47" xr10:uidLastSave="{00000000-0000-0000-0000-000000000000}"/>
  <bookViews>
    <workbookView xWindow="-14295" yWindow="-16320" windowWidth="29040" windowHeight="15720" activeTab="1" xr2:uid="{00000000-000D-0000-FFFF-FFFF00000000}"/>
  </bookViews>
  <sheets>
    <sheet name="Feuil4" sheetId="5" r:id="rId1"/>
    <sheet name="ACCUEIL" sheetId="1" r:id="rId2"/>
    <sheet name="MAPPING" sheetId="2" r:id="rId3"/>
    <sheet name="PARAM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18" i="5"/>
  <c r="F20" i="5" a="1"/>
  <c r="F18" i="5" a="1"/>
  <c r="F31" i="5" a="1"/>
  <c r="F21" i="5" a="1"/>
  <c r="F29" i="5" a="1"/>
  <c r="F24" i="5" a="1"/>
  <c r="F27" i="5" a="1"/>
  <c r="F28" i="5" a="1"/>
  <c r="F23" i="5" a="1"/>
  <c r="F19" i="5" a="1"/>
  <c r="F30" i="5" a="1"/>
  <c r="F25" i="5" a="1"/>
  <c r="F26" i="5" a="1"/>
  <c r="F22" i="5" a="1"/>
  <c r="F20" i="5" l="1"/>
  <c r="F30" i="5"/>
  <c r="F24" i="5"/>
  <c r="F18" i="5"/>
  <c r="F29" i="5"/>
  <c r="F23" i="5"/>
  <c r="F28" i="5"/>
  <c r="F22" i="5"/>
  <c r="F27" i="5"/>
  <c r="F21" i="5"/>
  <c r="F26" i="5"/>
  <c r="F31" i="5"/>
  <c r="F25" i="5"/>
  <c r="F19" i="5"/>
  <c r="C4" i="5"/>
  <c r="C5" i="5" s="1"/>
  <c r="C11" i="5" l="1"/>
  <c r="C9" i="5"/>
  <c r="G18" i="5" l="1"/>
  <c r="G19" i="5"/>
  <c r="G31" i="5"/>
  <c r="G20" i="5"/>
  <c r="G24" i="5"/>
  <c r="G26" i="5"/>
  <c r="G29" i="5"/>
  <c r="G30" i="5"/>
  <c r="G21" i="5"/>
  <c r="G22" i="5"/>
  <c r="G23" i="5"/>
  <c r="G25" i="5"/>
  <c r="G27" i="5"/>
  <c r="G28" i="5"/>
  <c r="H18" i="5" a="1"/>
  <c r="H23" i="5" a="1"/>
  <c r="H29" i="5" a="1"/>
  <c r="H20" i="5" a="1"/>
  <c r="H27" i="5" a="1"/>
  <c r="H24" i="5" a="1"/>
  <c r="H26" i="5" a="1"/>
  <c r="H30" i="5" a="1"/>
  <c r="H22" i="5" a="1"/>
  <c r="H21" i="5" a="1"/>
  <c r="H25" i="5" a="1"/>
  <c r="H19" i="5" a="1"/>
  <c r="H28" i="5" a="1"/>
  <c r="H31" i="5" a="1"/>
  <c r="H18" i="5" l="1"/>
  <c r="H24" i="5"/>
  <c r="H20" i="5"/>
  <c r="H29" i="5"/>
  <c r="H23" i="5"/>
  <c r="H21" i="5"/>
  <c r="H31" i="5"/>
  <c r="H28" i="5"/>
  <c r="H19" i="5"/>
  <c r="H25" i="5"/>
  <c r="H22" i="5"/>
  <c r="H30" i="5"/>
  <c r="H26" i="5"/>
  <c r="H27" i="5"/>
  <c r="B21" i="1"/>
  <c r="B15" i="1"/>
  <c r="B16" i="1"/>
  <c r="B17" i="1"/>
  <c r="B18" i="1"/>
  <c r="B19" i="1"/>
  <c r="B20" i="1"/>
  <c r="B14" i="1"/>
  <c r="B8" i="1"/>
  <c r="A5" i="1"/>
  <c r="C21" i="1" a="1"/>
  <c r="C18" i="1" a="1"/>
  <c r="C17" i="1" a="1"/>
  <c r="C19" i="1" a="1"/>
  <c r="C15" i="1" a="1"/>
  <c r="C16" i="1" a="1"/>
  <c r="C20" i="1" a="1"/>
  <c r="C14" i="1" a="1"/>
  <c r="C21" i="1" l="1"/>
  <c r="C20" i="1"/>
  <c r="C19" i="1"/>
  <c r="C16" i="1"/>
  <c r="C17" i="1"/>
  <c r="C18" i="1"/>
  <c r="C15" i="1"/>
  <c r="C1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<sst xmlns="http://schemas.openxmlformats.org/spreadsheetml/2006/main" count="5872" uniqueCount="664">
  <si>
    <t>Date de fin du trimestre</t>
  </si>
  <si>
    <t>Date de début du trimestre</t>
  </si>
  <si>
    <t>Année</t>
  </si>
  <si>
    <t>Numero du trimestre</t>
  </si>
  <si>
    <t>N° d’immatriculation (SIRET ou N° Fiscal)</t>
  </si>
  <si>
    <t>Numéro d’immatriculation du prêt</t>
  </si>
  <si>
    <t>Nouveau numéro d'immatriculation</t>
  </si>
  <si>
    <t>Nouveau numéro d'immatriculation de prêt</t>
  </si>
  <si>
    <t>Nouvelle durée</t>
  </si>
  <si>
    <t>Nouvelle échéance finale</t>
  </si>
  <si>
    <t>Nouvelle périodicité</t>
  </si>
  <si>
    <t>Date de remboursement</t>
  </si>
  <si>
    <t>Final Recipient ID (SIREN)</t>
  </si>
  <si>
    <t>Final Recipient Transaction ID</t>
  </si>
  <si>
    <t>New Fiscal number (SIREN)</t>
  </si>
  <si>
    <t>New Transaction reference</t>
  </si>
  <si>
    <t>New Transaction Principal Amout</t>
  </si>
  <si>
    <t>New Final Recipient Transaction Maturity (months)</t>
  </si>
  <si>
    <t>Repayement frequency</t>
  </si>
  <si>
    <t>Modification first disbursement date</t>
  </si>
  <si>
    <t>Modification Signature date</t>
  </si>
  <si>
    <t>Colonne Table F</t>
  </si>
  <si>
    <t>Colonne Reporting Modification</t>
  </si>
  <si>
    <t>N:\Projets01\ROBOTISATION_BO\459 - Reporting FEI Appel en garantie\Extractions KLS pour tests\modifications\INAF 2020_Modification_1775552009.xlsx</t>
  </si>
  <si>
    <t>C:\Users\MJ811HP\Desktop\303\BASE\FEI\NORMANDIE\20260430_143411_NORMANDIE_Q1-2026 V1.xlsx</t>
  </si>
  <si>
    <t>ENVELOPPE</t>
  </si>
  <si>
    <t>MODELE</t>
  </si>
  <si>
    <t>ONGLET</t>
  </si>
  <si>
    <t>ENTETE</t>
  </si>
  <si>
    <t>LIB_ENTETE</t>
  </si>
  <si>
    <t>TYPE_ENTETE</t>
  </si>
  <si>
    <t>ALTERNA</t>
  </si>
  <si>
    <t>ALTERNA Model.xlsx</t>
  </si>
  <si>
    <t>ALTERNA QQ_AAAA Table A1</t>
  </si>
  <si>
    <t xml:space="preserve">A.1.1. </t>
  </si>
  <si>
    <t>Fiscal number (SIREN)</t>
  </si>
  <si>
    <t>Mandatory</t>
  </si>
  <si>
    <t>LEFT([KLS_SIRET],9)</t>
  </si>
  <si>
    <t>A.1.1.1.</t>
  </si>
  <si>
    <t>SIRET</t>
  </si>
  <si>
    <t>[KLS_SIRET]</t>
  </si>
  <si>
    <t xml:space="preserve">A.1.2. </t>
  </si>
  <si>
    <t>Beneficary Name</t>
  </si>
  <si>
    <t>[KLS_NOM BENEFICIAIRE]</t>
  </si>
  <si>
    <t xml:space="preserve">A.1.3. </t>
  </si>
  <si>
    <t>Adress</t>
  </si>
  <si>
    <t>[KLS_ADRESSE]</t>
  </si>
  <si>
    <t xml:space="preserve">A.1.4. </t>
  </si>
  <si>
    <t>Postal Code</t>
  </si>
  <si>
    <t>[KLS_CODE POSTAL]</t>
  </si>
  <si>
    <t xml:space="preserve">A.1.5. </t>
  </si>
  <si>
    <t>Place</t>
  </si>
  <si>
    <t>[KLS_VILLE]</t>
  </si>
  <si>
    <t xml:space="preserve">A.1.6. </t>
  </si>
  <si>
    <t>Region (NUTS Code)</t>
  </si>
  <si>
    <t>[KLS_DEPARTEMENT_INVEST_NUTS3]</t>
  </si>
  <si>
    <t xml:space="preserve">A.1.7. </t>
  </si>
  <si>
    <t>Country</t>
  </si>
  <si>
    <t>IF([KLS_PAYS_INVEST] = "",'FR',[KLS_PAYS_INVEST])</t>
  </si>
  <si>
    <t xml:space="preserve">A.1.8. </t>
  </si>
  <si>
    <t>Date of establishement</t>
  </si>
  <si>
    <t>[KLS_DATE CREATION ENTREPRISE]</t>
  </si>
  <si>
    <t xml:space="preserve">A.1.9. </t>
  </si>
  <si>
    <t>Sector (NACE Code)</t>
  </si>
  <si>
    <t>[KLS_CODE NAF]</t>
  </si>
  <si>
    <t xml:space="preserve">A.1.10. </t>
  </si>
  <si>
    <t>Number of employees</t>
  </si>
  <si>
    <t>[KLS_NBR EMPLOYES]</t>
  </si>
  <si>
    <t xml:space="preserve">A.1.11. </t>
  </si>
  <si>
    <t>Total Turnover (€)</t>
  </si>
  <si>
    <t>[KLS_CHIFFRES AFFAIRES]</t>
  </si>
  <si>
    <t>A.1.12</t>
  </si>
  <si>
    <t>Total Assets (€)</t>
  </si>
  <si>
    <t>[KLS_TOTAL BILAN]</t>
  </si>
  <si>
    <t>A.1.13</t>
  </si>
  <si>
    <t>Is the final recipient part of a group</t>
  </si>
  <si>
    <t>IF([KLS_ENTREPRISE DU GROUPE] = "VRAI",'Y','N')</t>
  </si>
  <si>
    <t>A.1.14</t>
  </si>
  <si>
    <t>Land Size</t>
  </si>
  <si>
    <t>Optional</t>
  </si>
  <si>
    <t>[KLS_TAILLE EXPLOITATION]</t>
  </si>
  <si>
    <t>A.1.15</t>
  </si>
  <si>
    <t>Young farmer (Y/N)</t>
  </si>
  <si>
    <t>IF([KLS_EMPRUNTEUR JEUNE AGRI] = "VRAI",'Y','N')</t>
  </si>
  <si>
    <t>Comments</t>
  </si>
  <si>
    <t>""</t>
  </si>
  <si>
    <t>ALTERNA QQ_AAAA Table A2</t>
  </si>
  <si>
    <t>A.1.1.</t>
  </si>
  <si>
    <t>A.2.1.</t>
  </si>
  <si>
    <t>Transaction reference</t>
  </si>
  <si>
    <t>[KLS_NUM PRET]</t>
  </si>
  <si>
    <t>A.2.1.1.</t>
  </si>
  <si>
    <t>Transaction type</t>
  </si>
  <si>
    <t>[KLS_TYPE PRET]</t>
  </si>
  <si>
    <t>A.2.2.</t>
  </si>
  <si>
    <t>Transaction currency</t>
  </si>
  <si>
    <t>"EUR"</t>
  </si>
  <si>
    <t>A.2.3.</t>
  </si>
  <si>
    <t>Permited Purpose Activities</t>
  </si>
  <si>
    <t>[KLS_TYPE OBJET FINANCEMENT]</t>
  </si>
  <si>
    <t>A.2.3.1.</t>
  </si>
  <si>
    <t>Activity Sector of Investlent (NACE Code)</t>
  </si>
  <si>
    <t>A.2.4.</t>
  </si>
  <si>
    <t>Total eligible Project Cost</t>
  </si>
  <si>
    <t>[KLS_MONTANT PROJET CLIENT]</t>
  </si>
  <si>
    <t>A.2.4.1</t>
  </si>
  <si>
    <t>of which working capital</t>
  </si>
  <si>
    <t>Mandatory (if applicable)</t>
  </si>
  <si>
    <t>[KLS_MONTANT BFR]</t>
  </si>
  <si>
    <t>A.2.5.</t>
  </si>
  <si>
    <t>Transaction Principal Amout</t>
  </si>
  <si>
    <t>IF([KLS_MONTANT PRET APRES CONTRAT] = 0,[KLS_MONTANT PRET],[KLS_MONTANT PRET APRES CONTRAT])</t>
  </si>
  <si>
    <t>A.2.5.1.</t>
  </si>
  <si>
    <t>linked to Investment (Transaction reference)</t>
  </si>
  <si>
    <t>[BASE_VALIDITE_COMMENTAIRE]</t>
  </si>
  <si>
    <t>A.2.6.</t>
  </si>
  <si>
    <t>Transaction maturity (months)</t>
  </si>
  <si>
    <t>[KLS_DUREE PRET]</t>
  </si>
  <si>
    <t>A.2.6.1.</t>
  </si>
  <si>
    <t>Grace period (months)</t>
  </si>
  <si>
    <t>[KLS_DIFFERE PRET]</t>
  </si>
  <si>
    <t>A.2.7.</t>
  </si>
  <si>
    <t>Transaction signature date</t>
  </si>
  <si>
    <t>[KLS_DATE CONTRACT OBJET FINANCEMENT]</t>
  </si>
  <si>
    <t>A.2.8.</t>
  </si>
  <si>
    <t>[KLS_PERIODICITE DU PRET]</t>
  </si>
  <si>
    <t>A.2.8.1.</t>
  </si>
  <si>
    <t>First disbursement date</t>
  </si>
  <si>
    <t>[KLS_DATE 1ER DEBLOCAGE]</t>
  </si>
  <si>
    <t>A.2.9.</t>
  </si>
  <si>
    <t>Investment location (NUTS)</t>
  </si>
  <si>
    <t>A.2.10.</t>
  </si>
  <si>
    <t>Gross Grant Equivalent amount</t>
  </si>
  <si>
    <t>[KLS_CALCUL ESB]</t>
  </si>
  <si>
    <t>A.2.11.</t>
  </si>
  <si>
    <t>Collateral level (%) after haircuts</t>
  </si>
  <si>
    <t>A.2.12.</t>
  </si>
  <si>
    <t>Type of operation</t>
  </si>
  <si>
    <t>[KLS_TYPE_INVEST]</t>
  </si>
  <si>
    <t>A.2.13.</t>
  </si>
  <si>
    <t>Product Category (CN Code)</t>
  </si>
  <si>
    <t>[KLS_PRODUCT CATEGORY]</t>
  </si>
  <si>
    <t>ALTERNA QQ_AAAA Table B</t>
  </si>
  <si>
    <t>B.1.</t>
  </si>
  <si>
    <t>Cumulated disbursed principal amount</t>
  </si>
  <si>
    <t>[R3_MONTANT DES FONDS REMIS]</t>
  </si>
  <si>
    <t>B.2.</t>
  </si>
  <si>
    <t>Transaction outstanding principal amount</t>
  </si>
  <si>
    <t>[R3_CAPITAL RESTANT DU REEL]</t>
  </si>
  <si>
    <t>B.3.</t>
  </si>
  <si>
    <t>End of disbursement period (Y/N)</t>
  </si>
  <si>
    <t>IF([R3_MONTANT DES FONDS REMIS] =[R3_MONTANT PRET ACCORDE],'Y','N')</t>
  </si>
  <si>
    <t>B.4</t>
  </si>
  <si>
    <t>Defaulted Final Recipient Transaction (Y/N)</t>
  </si>
  <si>
    <t>IF([R3_CAPITAL RESTANT DU REEL] =[R3_CAPITAL RESTANT DU THEORIQUE],'N','Y')</t>
  </si>
  <si>
    <t>B.5.</t>
  </si>
  <si>
    <t>Event date / Date of defaulted final recipient transaction</t>
  </si>
  <si>
    <t>[KLS_DATE DE DEFAUT]</t>
  </si>
  <si>
    <t>B.6.</t>
  </si>
  <si>
    <t>Final recipient rating/scoring</t>
  </si>
  <si>
    <t>[KLS_NOTATION EMPRUNTEUR]</t>
  </si>
  <si>
    <t>B.7.</t>
  </si>
  <si>
    <t>Final recipient rating model used</t>
  </si>
  <si>
    <t>"Banque de France model"</t>
  </si>
  <si>
    <t>ALTERNA QQ_AAAA Table D</t>
  </si>
  <si>
    <t>UIC Number</t>
  </si>
  <si>
    <t>D.1.</t>
  </si>
  <si>
    <t>Repayment date</t>
  </si>
  <si>
    <t>[R3_DATE ARRETE BANQUE DE France]</t>
  </si>
  <si>
    <t>ALTERNA QQ_AAAA Table E</t>
  </si>
  <si>
    <t>E.1.</t>
  </si>
  <si>
    <t>Exclusion date</t>
  </si>
  <si>
    <t>E.2.</t>
  </si>
  <si>
    <t>Event type</t>
  </si>
  <si>
    <t>E.3.</t>
  </si>
  <si>
    <t>Excluded transaction amount</t>
  </si>
  <si>
    <t>ALTERNA QQ_AAAA Table F</t>
  </si>
  <si>
    <t>[KLS_NOUVEAU SIRET]</t>
  </si>
  <si>
    <t>[KLS_NOUVEAU NUM PRÊT]</t>
  </si>
  <si>
    <t>New Transaction maturity (months)</t>
  </si>
  <si>
    <t>[KLS_NOUVELLE DUREE PRÊT]</t>
  </si>
  <si>
    <t>Modification Profil Amortizement</t>
  </si>
  <si>
    <t>[KLS_NOUVELLE PERIODICITE DU PRÊT]</t>
  </si>
  <si>
    <t>[R3_REAL DATE DE PREMIERE REALISATION]</t>
  </si>
  <si>
    <t>Commentaire</t>
  </si>
  <si>
    <t>ALTERNA QQ_AAAA Table C1</t>
  </si>
  <si>
    <t xml:space="preserve">A/1/1/ </t>
  </si>
  <si>
    <t>A/2/1/</t>
  </si>
  <si>
    <t>A/2/2/</t>
  </si>
  <si>
    <t>Transaction Currency</t>
  </si>
  <si>
    <t>C/1/</t>
  </si>
  <si>
    <t>Event date</t>
  </si>
  <si>
    <t>C/2/</t>
  </si>
  <si>
    <t>C/3/</t>
  </si>
  <si>
    <t>Loss amount in principal</t>
  </si>
  <si>
    <t>C/4/</t>
  </si>
  <si>
    <t>Unpaid Interest</t>
  </si>
  <si>
    <t>C/5/</t>
  </si>
  <si>
    <t>Recovery Amound</t>
  </si>
  <si>
    <t>INAF</t>
  </si>
  <si>
    <t>INAF Model.xlsx</t>
  </si>
  <si>
    <t>INAF QQ_AAAA Table A1</t>
  </si>
  <si>
    <t>A/1/1/1/</t>
  </si>
  <si>
    <t xml:space="preserve">A/1/2/ </t>
  </si>
  <si>
    <t xml:space="preserve">A/1/3/ </t>
  </si>
  <si>
    <t xml:space="preserve">A/1/4/ </t>
  </si>
  <si>
    <t xml:space="preserve">A/1/5/ </t>
  </si>
  <si>
    <t xml:space="preserve">A/1/6/ </t>
  </si>
  <si>
    <t xml:space="preserve">A/1/7/ </t>
  </si>
  <si>
    <t>[KLS_PAYS]</t>
  </si>
  <si>
    <t xml:space="preserve">A/1/8/ </t>
  </si>
  <si>
    <t xml:space="preserve">A/1/9/ </t>
  </si>
  <si>
    <t xml:space="preserve">A/1/10/ </t>
  </si>
  <si>
    <t xml:space="preserve">A/1/11/ </t>
  </si>
  <si>
    <t>A/1/12</t>
  </si>
  <si>
    <t>A/1/13</t>
  </si>
  <si>
    <t>IF([KLS_ENTREPRISE DU GROUPE]='VRAI','Y','N')</t>
  </si>
  <si>
    <t>A/1/14</t>
  </si>
  <si>
    <t>Eligible Final Recipient</t>
  </si>
  <si>
    <t>[KLS_TYPE CIBLE]</t>
  </si>
  <si>
    <t>A/1/15</t>
  </si>
  <si>
    <t>IF([KLS_EMPRUNTEUR JEUNE AGRI]='VRAI','Y','N')</t>
  </si>
  <si>
    <t>INAF QQ_AAAA Table A2</t>
  </si>
  <si>
    <t>A/2/1/1/</t>
  </si>
  <si>
    <t>A/2/3/</t>
  </si>
  <si>
    <t>A/2/3/1/</t>
  </si>
  <si>
    <t>A/2/4/</t>
  </si>
  <si>
    <t>A/2/4/1</t>
  </si>
  <si>
    <t>A/2/5/</t>
  </si>
  <si>
    <t>A/2/5/1/</t>
  </si>
  <si>
    <t>A/2/6/</t>
  </si>
  <si>
    <t>A/2/6/1/</t>
  </si>
  <si>
    <t>A/2/7/</t>
  </si>
  <si>
    <t>A/2/8/</t>
  </si>
  <si>
    <t>A/2/8/1/</t>
  </si>
  <si>
    <t>A/2/9/</t>
  </si>
  <si>
    <t>A/2/10/</t>
  </si>
  <si>
    <t>"0"</t>
  </si>
  <si>
    <t>A/2/11/</t>
  </si>
  <si>
    <t>Renewal of generation</t>
  </si>
  <si>
    <t>IF([KLS_PRET NOUVELLE GENERATION]='VRAI','Y','N')</t>
  </si>
  <si>
    <t>A/2/12/</t>
  </si>
  <si>
    <t>Themtic Focus of Investment</t>
  </si>
  <si>
    <t>[KLS_THEMATIQUE INVEST]</t>
  </si>
  <si>
    <t>A/2/13/</t>
  </si>
  <si>
    <t>Branche Agricole (OTE diffusion agrégée)</t>
  </si>
  <si>
    <t>[KLS_BRANCHE AGRI]</t>
  </si>
  <si>
    <t>INAF QQ_AAAA Table B</t>
  </si>
  <si>
    <t>B/1/</t>
  </si>
  <si>
    <t>B/2/</t>
  </si>
  <si>
    <t>B/3/</t>
  </si>
  <si>
    <t>B/4</t>
  </si>
  <si>
    <t>IF([KLS_DATE DE DEFAUT]="","N",[KLS_DATE DE DEFAUT])</t>
  </si>
  <si>
    <t>B/5/</t>
  </si>
  <si>
    <t>B/6/</t>
  </si>
  <si>
    <t>B/7/</t>
  </si>
  <si>
    <t>INAF QQ_AAAA Table D</t>
  </si>
  <si>
    <t>A/1/1/</t>
  </si>
  <si>
    <t>D/1/</t>
  </si>
  <si>
    <t>INAF QQ_AAAA Table E</t>
  </si>
  <si>
    <t>E/1/</t>
  </si>
  <si>
    <t>E/2/</t>
  </si>
  <si>
    <t>E/3/</t>
  </si>
  <si>
    <t>INAF QQ_AAAA Table F</t>
  </si>
  <si>
    <t>LEFT([KLS_NOUVEAU SIRET],9)</t>
  </si>
  <si>
    <t>New SIRET</t>
  </si>
  <si>
    <t>Modification Transaction signature date</t>
  </si>
  <si>
    <t>FOSTER</t>
  </si>
  <si>
    <t>FOSTER Model.xlsx</t>
  </si>
  <si>
    <t>FOSTER QQ_AAAA Table A1</t>
  </si>
  <si>
    <t>UIC number</t>
  </si>
  <si>
    <t>ND</t>
  </si>
  <si>
    <t>[KLS_DEPARTEMENT_NUTS3]</t>
  </si>
  <si>
    <t xml:space="preserve">A.1.12. </t>
  </si>
  <si>
    <t>FOSTER QQ_AAAA Table A2</t>
  </si>
  <si>
    <t>"LOAN"</t>
  </si>
  <si>
    <t>[KLS_MONTANT ELIGIBLE FEI]</t>
  </si>
  <si>
    <t>IF([KLS_MONTANT PRET APRES CONTRAT] = 0,[KLS_MONTANT ELIGIBLE FEI],[KLS_MONTANT PRET APRES CONTRAT])</t>
  </si>
  <si>
    <t>A.2.5.2.</t>
  </si>
  <si>
    <t>FOSTER QQ_AAAA Table B</t>
  </si>
  <si>
    <t>End of disbursement period</t>
  </si>
  <si>
    <t>Beneficiary scoring</t>
  </si>
  <si>
    <t>Beneficiary rating model used</t>
  </si>
  <si>
    <t>Defaulted Beneficiary Transaction</t>
  </si>
  <si>
    <t>FOSTER QQ_AAAA Table D</t>
  </si>
  <si>
    <t>FOSTER QQ_AAAA Table E</t>
  </si>
  <si>
    <t>FOSTER QQ_AAAA Table F</t>
  </si>
  <si>
    <t>New UIC Number</t>
  </si>
  <si>
    <t>F.1</t>
  </si>
  <si>
    <t>F.2</t>
  </si>
  <si>
    <t>EGF CAPEE</t>
  </si>
  <si>
    <t>EGF CAPEE  Model.xlsx</t>
  </si>
  <si>
    <t>EGF CAPEE QQ_AAAA Table A1</t>
  </si>
  <si>
    <t>A.1.1</t>
  </si>
  <si>
    <t>Fiscal number</t>
  </si>
  <si>
    <t>A.1.2</t>
  </si>
  <si>
    <t>Final Recipient name</t>
  </si>
  <si>
    <t>[KLS_NAME]</t>
  </si>
  <si>
    <t>A.1.3</t>
  </si>
  <si>
    <t>Final Recipient National ID Type</t>
  </si>
  <si>
    <t>"FR-SIREN Number"</t>
  </si>
  <si>
    <t>A.1.4</t>
  </si>
  <si>
    <t>A.1.5</t>
  </si>
  <si>
    <t>A.1.6</t>
  </si>
  <si>
    <t>A.1.7</t>
  </si>
  <si>
    <t>Date of establishment</t>
  </si>
  <si>
    <t>Mandatory, if applicable</t>
  </si>
  <si>
    <t>A.1.8</t>
  </si>
  <si>
    <t>A.1.9</t>
  </si>
  <si>
    <t>A.1.10</t>
  </si>
  <si>
    <t>Total turnover
(EUR)</t>
  </si>
  <si>
    <t>A.1.11</t>
  </si>
  <si>
    <t>Total assets
(EUR)</t>
  </si>
  <si>
    <t>Is the Final Recipient part of a group (Y/N)?</t>
  </si>
  <si>
    <t>Type of enterprise (SME/SMC)</t>
  </si>
  <si>
    <t>Natural Person (Y/N)</t>
  </si>
  <si>
    <t>Publication (Y/N)</t>
  </si>
  <si>
    <t>IF([KLS_PUBLICATION INFORMATION AUTORISEE]="FAUX","N","Y")</t>
  </si>
  <si>
    <t>EGF CAPEE QQ_AAAA Table A2</t>
  </si>
  <si>
    <t xml:space="preserve">A.2.2. </t>
  </si>
  <si>
    <t>Transaction purpose</t>
  </si>
  <si>
    <t>Transaction principal amount</t>
  </si>
  <si>
    <t>A.2.5.1</t>
  </si>
  <si>
    <t>Purchase price</t>
  </si>
  <si>
    <t>Mandatory if Lease</t>
  </si>
  <si>
    <t>Down payment</t>
  </si>
  <si>
    <t>Amortisation profile</t>
  </si>
  <si>
    <t>Repayment frequency</t>
  </si>
  <si>
    <t>Reference rate</t>
  </si>
  <si>
    <t>A.2.10.1.</t>
  </si>
  <si>
    <t>Interest rate / margin over Reference rate</t>
  </si>
  <si>
    <t>A.2.11</t>
  </si>
  <si>
    <t>Investment location (Country)</t>
  </si>
  <si>
    <t>Fee</t>
  </si>
  <si>
    <t>A.2.12.1.</t>
  </si>
  <si>
    <t>Period for fee calculation</t>
  </si>
  <si>
    <t>Loss Given Default</t>
  </si>
  <si>
    <t>A.2.14.</t>
  </si>
  <si>
    <t>Value of Collateral</t>
  </si>
  <si>
    <t>A.2.14.1</t>
  </si>
  <si>
    <t>Main type of collateral</t>
  </si>
  <si>
    <t>A.2.15.</t>
  </si>
  <si>
    <t>State aid Framework</t>
  </si>
  <si>
    <t>A.2.15.1.</t>
  </si>
  <si>
    <t>A.2.16.</t>
  </si>
  <si>
    <t>Green policy relevance</t>
  </si>
  <si>
    <t>EGF CAPEE QQ_AAAA Table B</t>
  </si>
  <si>
    <t xml:space="preserve">B.1. </t>
  </si>
  <si>
    <t>Final Recipient rating / scoring</t>
  </si>
  <si>
    <t>Final Recipient rating / scoring model used</t>
  </si>
  <si>
    <t>Final Recipient rating / scoring date</t>
  </si>
  <si>
    <t>[KLS_DATE CREATION DOSSIER]</t>
  </si>
  <si>
    <t>B.4.</t>
  </si>
  <si>
    <t>IF([R3_MONTANT PRET ACCORDE]=0,[R3_MONTANT DES FONDS REMIS],[R3_MONTANT PRET ACCORDE])</t>
  </si>
  <si>
    <t>Sum of daily outstanding principal amount (performing)</t>
  </si>
  <si>
    <t>B.8.</t>
  </si>
  <si>
    <t>Delinquent Final Recipient Transaction</t>
  </si>
  <si>
    <t>"N"</t>
  </si>
  <si>
    <t>B.9.</t>
  </si>
  <si>
    <t>Delinquent period (nbr days)</t>
  </si>
  <si>
    <t>B.10.</t>
  </si>
  <si>
    <t>B.11.</t>
  </si>
  <si>
    <t>Event date / Date of Defaulted Final Recipient Transaction</t>
  </si>
  <si>
    <t>B.12.1</t>
  </si>
  <si>
    <t>Upside (amount)</t>
  </si>
  <si>
    <t>Mandatory for subordinated debt</t>
  </si>
  <si>
    <t>B.12.2</t>
  </si>
  <si>
    <t>Upside realised (Y/N)</t>
  </si>
  <si>
    <t>B.13.</t>
  </si>
  <si>
    <t>Moratorium (Y/N)</t>
  </si>
  <si>
    <t>IF([KLS_EXISTANCE MORATOIRE]=0,"N","Y")</t>
  </si>
  <si>
    <t>EGF CAPEE QQ_AAAA Table D</t>
  </si>
  <si>
    <t>EGF CAPEE QQ_AAAA Table E</t>
  </si>
  <si>
    <t>EGF CAPEE QQ_AAAA Table F</t>
  </si>
  <si>
    <t>New Fiscal number</t>
  </si>
  <si>
    <t>EGF NON CAPEE</t>
  </si>
  <si>
    <t>EGF NON CAPEE Model.xlsx</t>
  </si>
  <si>
    <t>EGF NON CAPEE QQ_AAAA Table A1</t>
  </si>
  <si>
    <t>IF([KLS_PUBLICATION INFORMATION AUTORISEE]='FAUX','N','Y')</t>
  </si>
  <si>
    <t>EGF NON CAPEE QQ_AAAA Table A2</t>
  </si>
  <si>
    <t>EGF NON CAPEE QQ_AAAA Table B</t>
  </si>
  <si>
    <t>EGF NON CAPEE QQ_AAAA Table D</t>
  </si>
  <si>
    <t>EGF NON CAPEE QQ_AAAA Table E</t>
  </si>
  <si>
    <t>EGF NON CAPEE QQ_AAAA Table F</t>
  </si>
  <si>
    <t>INVEST EU</t>
  </si>
  <si>
    <t>INVEST EU Model.xlsx</t>
  </si>
  <si>
    <t>INVEST EU Table A1</t>
  </si>
  <si>
    <t>Final Recipient ID</t>
  </si>
  <si>
    <t>IF([import]='DURABILITE',[KLS_NOM BENEFICIAIRE],[KLS_NAME])</t>
  </si>
  <si>
    <t>Email address</t>
  </si>
  <si>
    <t>[KLS_ADRESSE_MAIL]</t>
  </si>
  <si>
    <t>Address</t>
  </si>
  <si>
    <t>Region (NUTS2)</t>
  </si>
  <si>
    <t>[KLS_REGION_NUTS2]</t>
  </si>
  <si>
    <t>IF([KLS_PAYS] ='FRANCE','FR','FR')</t>
  </si>
  <si>
    <t>Nationality</t>
  </si>
  <si>
    <t>Mandatory, if category A</t>
  </si>
  <si>
    <t>[KLS_NATIONALITE]</t>
  </si>
  <si>
    <t>Sector (NACE 4)</t>
  </si>
  <si>
    <t>A.1.16</t>
  </si>
  <si>
    <t>A.1.17</t>
  </si>
  <si>
    <t>Final Recipient type</t>
  </si>
  <si>
    <t>[KLS_TYPE EMPRUNTEUR]</t>
  </si>
  <si>
    <t>A.1.18</t>
  </si>
  <si>
    <t>IF([KLS_PERSONNE_PHYSIQUE] = 'VRAI','Y','N')</t>
  </si>
  <si>
    <t>A.1.19</t>
  </si>
  <si>
    <t>Start-up (Y/N)</t>
  </si>
  <si>
    <t>IF([KLS_ENT_DEMARRAGE] = 'VRAI','Y','N')</t>
  </si>
  <si>
    <t>A.1.20</t>
  </si>
  <si>
    <t>FR category</t>
  </si>
  <si>
    <t>INVEST EU Table A2</t>
  </si>
  <si>
    <t>A.2.1</t>
  </si>
  <si>
    <t xml:space="preserve"> Final Recipient Transaction ID</t>
  </si>
  <si>
    <t>Final Recipient Transaction Type</t>
  </si>
  <si>
    <t>A.2.2</t>
  </si>
  <si>
    <t>Final Recipient Transaction Currency</t>
  </si>
  <si>
    <t>A.2.3</t>
  </si>
  <si>
    <t xml:space="preserve">Final Recipient Transaction Purpose </t>
  </si>
  <si>
    <t>A.2.4</t>
  </si>
  <si>
    <t>Final Recipient Transaction Principal amount</t>
  </si>
  <si>
    <t>A.2.5</t>
  </si>
  <si>
    <t>Final Recipient Transaction Maturity (months)</t>
  </si>
  <si>
    <t>A.2.6</t>
  </si>
  <si>
    <t>A.2.7</t>
  </si>
  <si>
    <t>Final Recipient Transaction signature date</t>
  </si>
  <si>
    <t>A.2.8</t>
  </si>
  <si>
    <t>First disbursement date (Loan)/
Lease period start date</t>
  </si>
  <si>
    <t>A.2.9</t>
  </si>
  <si>
    <t>Amortization profile</t>
  </si>
  <si>
    <t>[KLS_PROFIL AMORT]</t>
  </si>
  <si>
    <t>A.2.10</t>
  </si>
  <si>
    <t>Principal Repayment frequency</t>
  </si>
  <si>
    <t>[KLS_TAUX REFERENCE]</t>
  </si>
  <si>
    <t>A.2.12</t>
  </si>
  <si>
    <t>Interest rate/
margin</t>
  </si>
  <si>
    <t>[KLS_TAUX INTERET PRET]</t>
  </si>
  <si>
    <t>A.2.13</t>
  </si>
  <si>
    <t>Interest/Coupon rate frequency</t>
  </si>
  <si>
    <t>[KLS_FREQUENCES_INT]</t>
  </si>
  <si>
    <t>A.2.14</t>
  </si>
  <si>
    <t>A.2.15</t>
  </si>
  <si>
    <t>[KLS_TYPE_COLLATERAL]</t>
  </si>
  <si>
    <t>A.2.16</t>
  </si>
  <si>
    <t>[KLS_NIVEAU_COUV]*[KLS_MONTANT PRET APRES CONTRAT]</t>
  </si>
  <si>
    <t>A.2.17</t>
  </si>
  <si>
    <t>IF([KLS_PUBLICATION INFORMATION BENEF]='FAUX','N','Y')</t>
  </si>
  <si>
    <t>A.2.18</t>
  </si>
  <si>
    <t>Permitted Additional Interest
(Y/N)</t>
  </si>
  <si>
    <t>A.2.19</t>
  </si>
  <si>
    <t>InvestEU Portfolio Thematic Product</t>
  </si>
  <si>
    <t>IF([import]='DURABILITE','SMEW Sustainability','Innovation and Digitalisation')</t>
  </si>
  <si>
    <t>A.2.20</t>
  </si>
  <si>
    <t>Guarantee Rate</t>
  </si>
  <si>
    <t>IF([import]='DURABILITE','0,5','0,7')</t>
  </si>
  <si>
    <t>A.2.21</t>
  </si>
  <si>
    <t>IEU Portfolio Thematic Product Eligibility Criteria</t>
  </si>
  <si>
    <t>IF([import]='DURABILITE',[KLS_TYPE_INVEST_2],'ID21')</t>
  </si>
  <si>
    <t>A.2.22</t>
  </si>
  <si>
    <t>Eligible educational programme</t>
  </si>
  <si>
    <t>A.2.23</t>
  </si>
  <si>
    <t>Eligible investment into Skills</t>
  </si>
  <si>
    <t>Mandatory, if category B</t>
  </si>
  <si>
    <t>A.2.24</t>
  </si>
  <si>
    <t>Country of studies</t>
  </si>
  <si>
    <t>Mandatory, if Category A</t>
  </si>
  <si>
    <t>S.3.1</t>
  </si>
  <si>
    <t xml:space="preserve">Additional renewable and other safe and sustainable zero and low-emission energy generation capacity installed (MW) </t>
  </si>
  <si>
    <t>IF(OR([KLS_TYPE_INVEST_2]='2.1.1',[KLS_TYPE_INVEST_2]='2.1.2',[KLS_TYPE_INVEST_2]='2.1.3',[KLS_TYPE_INVEST_2]='2.1.4'),[KLS_SUPPL_PROD],'-')</t>
  </si>
  <si>
    <t>S.3.2</t>
  </si>
  <si>
    <t xml:space="preserve"> Estimated primary energy savings generated by the projects in kWh/year </t>
  </si>
  <si>
    <t>IF(OR([KLS_TYPE_INVEST_2]='2.2.1',[KLS_TYPE_INVEST_2]='2.2.2',[KLS_TYPE_INVEST_2]='2.2.3',[KLS_TYPE_INVEST_2]='2.3.1',[KLS_TYPE_INVEST_2]='2.3.2',[KLS_TYPE_INVEST_2]='2.4.1',[KLS_TYPE_INVEST_2]='2.4.2'),[KLS_ESTIM_ECONOMIE],'-')</t>
  </si>
  <si>
    <t>S.3.3</t>
  </si>
  <si>
    <t>Annual green-house gas emissions reduced/avoided in tonnes of CO2 equivalent/year</t>
  </si>
  <si>
    <t>IF(OR([KLS_TYPE_INVEST_2]='2.2.1',[KLS_TYPE_INVEST_2]='2.2.2',[KLS_TYPE_INVEST_2]='2.2.3',[KLS_TYPE_INVEST_2]='2.3.1',[KLS_TYPE_INVEST_2]='2.3.2',[KLS_TYPE_INVEST_2]='2.4.1',[KLS_TYPE_INVEST_2]='2.4.2'),[KLS_ESTIM_ECO_CO2],'-')</t>
  </si>
  <si>
    <t>S.3.4</t>
  </si>
  <si>
    <t xml:space="preserve">kWh storage capacity </t>
  </si>
  <si>
    <t>IF([KLS_TYPE_INVEST_2]='2.1.6',[KLS_CAPACITE_STOCK],'-')</t>
  </si>
  <si>
    <t>INVEST EU Table B</t>
  </si>
  <si>
    <t xml:space="preserve"> Final Recipient ID</t>
  </si>
  <si>
    <t>B.1</t>
  </si>
  <si>
    <t>B.2</t>
  </si>
  <si>
    <t>B.3</t>
  </si>
  <si>
    <t>Final Recipient Transaction Cumulated disbursed principal amount</t>
  </si>
  <si>
    <t xml:space="preserve"> Final Recipient Transaction outstanding principal amount</t>
  </si>
  <si>
    <t>B.5</t>
  </si>
  <si>
    <t>B.6</t>
  </si>
  <si>
    <t>B.7</t>
  </si>
  <si>
    <t>Delinquent  Final Recipient Transaction</t>
  </si>
  <si>
    <t>B.8</t>
  </si>
  <si>
    <t>Delinquent period (no. days)</t>
  </si>
  <si>
    <t>B.9</t>
  </si>
  <si>
    <t>Credit event (Y/N)</t>
  </si>
  <si>
    <t>B.10</t>
  </si>
  <si>
    <t>Credit event date</t>
  </si>
  <si>
    <t>Mandatory,if applicable</t>
  </si>
  <si>
    <t>B.11</t>
  </si>
  <si>
    <t>Final Recipient Transaction Cured date</t>
  </si>
  <si>
    <t>B.12.</t>
  </si>
  <si>
    <t>Permitted Additional Interest Amount</t>
  </si>
  <si>
    <t>INVEST EU Table D</t>
  </si>
  <si>
    <t>D.1</t>
  </si>
  <si>
    <t>INVEST EU Table E</t>
  </si>
  <si>
    <t>E.1</t>
  </si>
  <si>
    <t>E.2</t>
  </si>
  <si>
    <t>INVEST EU Table F</t>
  </si>
  <si>
    <t>New Final Recipient ID</t>
  </si>
  <si>
    <t>New Final Recipient Transaction ID</t>
  </si>
  <si>
    <t>New Final Recipient Transaction Principal amount</t>
  </si>
  <si>
    <t>INVEST EU Table S3</t>
  </si>
  <si>
    <t>FOSTER2 PRO</t>
  </si>
  <si>
    <t>FOSTER2 PRO Model.xlsx</t>
  </si>
  <si>
    <t>FOSTER2 PRO QQ_AAAA Table A1</t>
  </si>
  <si>
    <t>A.1.10.1</t>
  </si>
  <si>
    <t>Number of employees consolited</t>
  </si>
  <si>
    <t>[KLS_NBR EMPLOYES AU NIVEAU CONSOLIDE]</t>
  </si>
  <si>
    <t>A.1.11.1</t>
  </si>
  <si>
    <t>Total Turnover consolided as per the EC</t>
  </si>
  <si>
    <t>[KLS_CHIFFRES AFFAIRES AU NIVEAU CONSOLIDE]</t>
  </si>
  <si>
    <t>A.1.12.1</t>
  </si>
  <si>
    <t>Total Assets consolided as per the EC</t>
  </si>
  <si>
    <t>[KLS_TOTAL BILAN AU NIVEAU CONSOLIDE]</t>
  </si>
  <si>
    <t>A.1.13N</t>
  </si>
  <si>
    <t>FOSTER2 PRO QQ_AAAA Table A2</t>
  </si>
  <si>
    <t>Amortisation Profile</t>
  </si>
  <si>
    <t>IF([KLS_TAUX REFERENCE]='Taux fixe','N/A',[KLS_TAUX REFERENCE])</t>
  </si>
  <si>
    <t>Interest rate/margin</t>
  </si>
  <si>
    <t>Thématic objectives</t>
  </si>
  <si>
    <t>Type of collateral</t>
  </si>
  <si>
    <t>A.2.16.1</t>
  </si>
  <si>
    <t>A.2.17.</t>
  </si>
  <si>
    <t>Publication Y/N</t>
  </si>
  <si>
    <t>FOSTER2 PRO QQ_AAAA Table B</t>
  </si>
  <si>
    <t>Crédit Event Y/N</t>
  </si>
  <si>
    <t>CréditEvent Date</t>
  </si>
  <si>
    <t>FOSTER2 PRO QQ_AAAA Table D</t>
  </si>
  <si>
    <t>FOSTER2 PRO QQ_AAAA Table E</t>
  </si>
  <si>
    <t>FOSTER2 PRO QQ_AAAA Table F</t>
  </si>
  <si>
    <t>FOSTER2 PRO QQ_AAAA Table C1</t>
  </si>
  <si>
    <t>FOSTER2 AGRI</t>
  </si>
  <si>
    <t>FOSTER2 AGRI Model.xlsx</t>
  </si>
  <si>
    <t>FOSTER2 AGRI QQ_AAAA Table A1</t>
  </si>
  <si>
    <t>Region (NUTS Code 3)</t>
  </si>
  <si>
    <t>Sector (NACE Code 4)</t>
  </si>
  <si>
    <t>Type of Final Recipient</t>
  </si>
  <si>
    <t xml:space="preserve">Birth date of signatory of the Final Recipient Transaction </t>
  </si>
  <si>
    <t>[KLS_DATE DE NAISSANCE DU SIGNATAIRE DU PRÊT]</t>
  </si>
  <si>
    <t>Gender signatory of the Final Recipient Transaction</t>
  </si>
  <si>
    <t>[KLS_GENRE DU SIGNATAIRE DU PRÊT]</t>
  </si>
  <si>
    <t>FOSTER2 AGRI QQ_AAAA Table A2</t>
  </si>
  <si>
    <t>[KLS_TYPE_INVEST_2]</t>
  </si>
  <si>
    <t>Activity Sector of Investlent (NACE Code 4)</t>
  </si>
  <si>
    <t>IF([KLS_TAUX REFERENCE]='N/A','N/A',[KLS_TAUX REFERENCE])</t>
  </si>
  <si>
    <t>Investment location (NUTS code 3)</t>
  </si>
  <si>
    <t xml:space="preserve">Strategic Direction </t>
  </si>
  <si>
    <t>Product category (CN code)</t>
  </si>
  <si>
    <t>Agri branch</t>
  </si>
  <si>
    <t>A.2.17.1</t>
  </si>
  <si>
    <t>A.2.18.</t>
  </si>
  <si>
    <t>A.2.19.</t>
  </si>
  <si>
    <t>Product/Service category</t>
  </si>
  <si>
    <t>FOSTER2 AGRI QQ_AAAA Table B</t>
  </si>
  <si>
    <t>FOSTER2 AGRI QQ_AAAA Table D</t>
  </si>
  <si>
    <t>FOSTER2 AGRI QQ_AAAA Table E</t>
  </si>
  <si>
    <t>FOSTER2 AGRI QQ_AAAA Table F</t>
  </si>
  <si>
    <t>FOSTER2 AGRI QQ_AAAA Table C1</t>
  </si>
  <si>
    <t>AURA</t>
  </si>
  <si>
    <t>AURA Model.xlsx</t>
  </si>
  <si>
    <t>AURA QQ_AAAA Table A1</t>
  </si>
  <si>
    <t>Final Recipient Name</t>
  </si>
  <si>
    <t xml:space="preserve">Number of employees </t>
  </si>
  <si>
    <t xml:space="preserve">Total Turnover </t>
  </si>
  <si>
    <t xml:space="preserve">Total Assets </t>
  </si>
  <si>
    <t>AURA QQ_AAAA Table A2</t>
  </si>
  <si>
    <t>Final Recipient Transaction type</t>
  </si>
  <si>
    <t>Final Recipient Transaction currency</t>
  </si>
  <si>
    <t>Total investment amount</t>
  </si>
  <si>
    <t>Final Recipient Transaction Principal Amout</t>
  </si>
  <si>
    <t>Final Recipient Transaction maturity (months)</t>
  </si>
  <si>
    <t>IF([KLS_TAUX REFERENCE]='NON CONCERNE','N/A',[KLS_TAUX REFERENCE])</t>
  </si>
  <si>
    <t>A.2.15.1</t>
  </si>
  <si>
    <t>Sub-thématic</t>
  </si>
  <si>
    <t>AURA QQ_AAAA Table B</t>
  </si>
  <si>
    <t>Final recipient Cumulated disbursed principal amount</t>
  </si>
  <si>
    <t>Final recipient  Transaction outstanding principal amount</t>
  </si>
  <si>
    <t>AURA QQ_AAAA Table D</t>
  </si>
  <si>
    <t>AURA QQ_AAAA Table E</t>
  </si>
  <si>
    <t>AURA QQ_AAAA Table F</t>
  </si>
  <si>
    <t>AURA QQ_AAAA Table C1</t>
  </si>
  <si>
    <t>NORMANDIE</t>
  </si>
  <si>
    <t>NORMANDIE Model.xlsx</t>
  </si>
  <si>
    <t>NORMANDIE QQ_AAAA Table A1</t>
  </si>
  <si>
    <t>NORMANDIE QQ_AAAA Table A2</t>
  </si>
  <si>
    <t>[KLS_SUPPL_PROD]</t>
  </si>
  <si>
    <t>NORMANDIE QQ_AAAA Table B</t>
  </si>
  <si>
    <t>NORMANDIE QQ_AAAA Table D</t>
  </si>
  <si>
    <t>NORMANDIE QQ_AAAA Table E</t>
  </si>
  <si>
    <t>NORMANDIE QQ_AAAA Table F</t>
  </si>
  <si>
    <t>NORMANDIE QQ_AAAA Table C1</t>
  </si>
  <si>
    <t>INAF_2025</t>
  </si>
  <si>
    <t>INAF 2025 Model.xlsx</t>
  </si>
  <si>
    <t>INAF_2025 QQ_AAAA Table A1</t>
  </si>
  <si>
    <t>Eligible Final Recipient type</t>
  </si>
  <si>
    <t>INAF_2025 QQ_AAAA Table A2</t>
  </si>
  <si>
    <t xml:space="preserve"> Transaction Reference</t>
  </si>
  <si>
    <t>Transaction Type</t>
  </si>
  <si>
    <t>Permitted Purpose activities</t>
  </si>
  <si>
    <t>Activity Sector of Investment (NACE Code 4)</t>
  </si>
  <si>
    <t>Transaction Principal Amount</t>
  </si>
  <si>
    <t>[KLS_MONTANT PRET APRES CONTRAT]</t>
  </si>
  <si>
    <t>Thematic Focus of investment</t>
  </si>
  <si>
    <t>Agricultural Branch</t>
  </si>
  <si>
    <t>Standard Transaction Interest Rate</t>
  </si>
  <si>
    <t>[KLS_TAUX REFERENCE FINANCEMENT]/100</t>
  </si>
  <si>
    <t>Inaf transaction Interest Rate</t>
  </si>
  <si>
    <t>label Identification</t>
  </si>
  <si>
    <t>[KLS_ID LABEL]</t>
  </si>
  <si>
    <t>Agricultural Background</t>
  </si>
  <si>
    <t>[KLS_EMPRUNTEUR MILIEU AGRI]</t>
  </si>
  <si>
    <t>INAF_2025 QQ_AAAA Table B</t>
  </si>
  <si>
    <t>INAF_2025 QQ_AAAA Table D</t>
  </si>
  <si>
    <t>INAF_2025 QQ_AAAA Table E</t>
  </si>
  <si>
    <t>INAF_2025 QQ_AAAA Table F</t>
  </si>
  <si>
    <t>Dossier de travail</t>
  </si>
  <si>
    <t>Enveloppe</t>
  </si>
  <si>
    <t>Repertoire</t>
  </si>
  <si>
    <t>Fichier à mettre à jour</t>
  </si>
  <si>
    <t>Date du jour</t>
  </si>
  <si>
    <t>Date par défaut</t>
  </si>
  <si>
    <t>Arreté traité</t>
  </si>
  <si>
    <t>Enregistrer le resultat ici</t>
  </si>
  <si>
    <t>Chemin du fichier de paramétrage</t>
  </si>
  <si>
    <t>N:\Projets01\ROBOTISATION_BO\303 - Reporting FEI\BASE\PARAMETRAGE\303-Parametrage.xlsx</t>
  </si>
  <si>
    <t>Chemin des extraction KLS</t>
  </si>
  <si>
    <t>Aller chercher le fichier sourcce ici en concaténant avec le nom du fichier source</t>
  </si>
  <si>
    <t>Le téléchargement des reportings Défaut se paramètre dans l'onglet KLS_Param du fichier de paramétrage spécifié en cellule C6.</t>
  </si>
  <si>
    <t>Lancer</t>
  </si>
  <si>
    <t>date act</t>
  </si>
  <si>
    <t>Oui</t>
  </si>
  <si>
    <t>PISTE 453 - REPORTING FEI - MODIFICATIONS</t>
  </si>
  <si>
    <t>MODIFICATION_FOSTER_2_PRO</t>
  </si>
  <si>
    <t>MODIFICATION_EGF_CAPEE_MARCHE_ENTREPRISES</t>
  </si>
  <si>
    <t>MODIFICATION_EGF_CAPEE_MARCHE_PRO_AGRI</t>
  </si>
  <si>
    <t>MODIFICATION_EGF_NON_CAPEE_MARCHE_ENTREPRISES</t>
  </si>
  <si>
    <t>MODIFICATION_EGF_NON_CAPEE_MARCHE_PRO_AGRI</t>
  </si>
  <si>
    <t>MODIFICATION_INVEST_EU_INNOVATION_ET_DIGITALISATION</t>
  </si>
  <si>
    <t>MODIFICATION_FOSTER</t>
  </si>
  <si>
    <t>MODIFICATION_FOSTER_2_AGRI</t>
  </si>
  <si>
    <t>MODIFICATION_INAF_2020</t>
  </si>
  <si>
    <t>MODIFICATION_INVEST_EU_DURABILITE</t>
  </si>
  <si>
    <t>MODIFICATION_NOUVELLE_ENVELOPPE_ALTERN'A</t>
  </si>
  <si>
    <t>MODIFICATION_AURA</t>
  </si>
  <si>
    <t>MODIFICATION_NORMANDIE</t>
  </si>
  <si>
    <t>MODIFICATION_INAF_2025</t>
  </si>
  <si>
    <t>Chemin des Reportings Modification</t>
  </si>
  <si>
    <t>C:\Users\MJ811HP\Desktop\303\BASE\FEI</t>
  </si>
  <si>
    <t>Répertoire de travail</t>
  </si>
  <si>
    <t xml:space="preserve">Repertoire </t>
  </si>
  <si>
    <t>Extraction KLS</t>
  </si>
  <si>
    <t>Existence du fichier extraction</t>
  </si>
  <si>
    <t>NOM  REPORTING KLS</t>
  </si>
  <si>
    <t>Dernier fichier modifié</t>
  </si>
  <si>
    <t>Date de début du Trismestre</t>
  </si>
  <si>
    <t>Date de Fin du Trimestre</t>
  </si>
  <si>
    <t>COLONNE REPORTING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</si>
</sst>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000000"/>
      <name val="Calibri"/>
    </font>
    <font>
      <b/>
      <sz val="11"/>
      <color indexed="9"/>
      <name val="Calibri"/>
      <family val="2"/>
      <scheme val="minor"/>
    </font>
    <font>
      <b/>
      <sz val="18"/>
      <color rgb="FFFFFFFF"/>
      <name val="Aptos"/>
    </font>
    <font>
      <b/>
      <sz val="10"/>
      <color rgb="FF111827"/>
      <name val="Aptos"/>
    </font>
    <font>
      <sz val="10"/>
      <color rgb="FF374151"/>
      <name val="Aptos"/>
    </font>
    <font>
      <b/>
      <i/>
      <sz val="10"/>
      <color rgb="FF1E3A8A"/>
      <name val="Aptos"/>
    </font>
    <font>
      <i/>
      <sz val="10"/>
      <color rgb="FF1E3A8A"/>
      <name val="Aptos"/>
    </font>
    <font>
      <b/>
      <sz val="10"/>
      <color rgb="FFFFFFFF"/>
      <name val="Aptos"/>
    </font>
    <font>
      <sz val="10"/>
      <color rgb="FF111827"/>
      <name val="Aptos"/>
    </font>
    <font>
      <sz val="11"/>
      <color theme="1"/>
      <name val="Aptos Narrow"/>
      <family val="2"/>
    </font>
    <font>
      <sz val="10"/>
      <color rgb="FF000000"/>
      <name val="Aptos"/>
    </font>
    <font>
      <b/>
      <sz val="10"/>
      <color rgb="FFFFFFFF"/>
      <name val="Aptos Narrow"/>
      <family val="2"/>
    </font>
    <font>
      <sz val="10"/>
      <name val="Arial"/>
      <family val="2"/>
    </font>
    <font>
      <b/>
      <sz val="10"/>
      <color rgb="FFFFFFFF"/>
      <name val="Aptos Narrow"/>
    </font>
    <font>
      <sz val="11"/>
      <color rgb="FF000000"/>
      <name val="Calibri"/>
      <family val="2"/>
    </font>
    <font>
      <b/>
      <sz val="10"/>
      <color rgb="FF111827"/>
      <name val="Aptos"/>
      <family val="2"/>
    </font>
  </fonts>
  <fills count="8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rgb="FF196B24"/>
        <bgColor rgb="FF000000"/>
      </patternFill>
    </fill>
    <fill>
      <patternFill patternType="solid">
        <fgColor rgb="FFF3F4F6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EFF6FF"/>
        <bgColor rgb="FF000000"/>
      </patternFill>
    </fill>
  </fills>
  <borders count="31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E2D9"/>
      </left>
      <right style="thin">
        <color rgb="FFD9E2D9"/>
      </right>
      <top style="thin">
        <color rgb="FFD9E2D9"/>
      </top>
      <bottom style="thin">
        <color rgb="FFD9E2D9"/>
      </bottom>
      <diagonal/>
    </border>
    <border>
      <left style="thin">
        <color rgb="FFD9E2D9"/>
      </left>
      <right style="thin">
        <color rgb="FFD9E2D9"/>
      </right>
      <top style="thin">
        <color rgb="FFD9E2D9"/>
      </top>
      <bottom/>
      <diagonal/>
    </border>
    <border>
      <left style="thin">
        <color rgb="FFCBD5E1"/>
      </left>
      <right style="thin">
        <color rgb="FFD1D5DB"/>
      </right>
      <top style="thin">
        <color rgb="FFCBD5E1"/>
      </top>
      <bottom style="thin">
        <color rgb="FFD1D5DB"/>
      </bottom>
      <diagonal/>
    </border>
    <border>
      <left style="thin">
        <color rgb="FFD1D5DB"/>
      </left>
      <right style="thin">
        <color rgb="FFD1D5DB"/>
      </right>
      <top style="thin">
        <color rgb="FFCBD5E1"/>
      </top>
      <bottom style="thin">
        <color rgb="FFD1D5DB"/>
      </bottom>
      <diagonal/>
    </border>
    <border>
      <left style="thin">
        <color rgb="FFD1D5DB"/>
      </left>
      <right style="thin">
        <color rgb="FFCBD5E1"/>
      </right>
      <top style="thin">
        <color rgb="FFCBD5E1"/>
      </top>
      <bottom style="thin">
        <color rgb="FFD1D5DB"/>
      </bottom>
      <diagonal/>
    </border>
    <border>
      <left style="thin">
        <color rgb="FFCBD5E1"/>
      </left>
      <right style="thin">
        <color rgb="FFD1D5DB"/>
      </right>
      <top style="thin">
        <color rgb="FFD1D5DB"/>
      </top>
      <bottom style="thin">
        <color rgb="FFD1D5DB"/>
      </bottom>
      <diagonal/>
    </border>
    <border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  <border>
      <left style="thin">
        <color rgb="FFD1D5DB"/>
      </left>
      <right style="thin">
        <color rgb="FFCBD5E1"/>
      </right>
      <top style="thin">
        <color rgb="FFD1D5DB"/>
      </top>
      <bottom style="thin">
        <color rgb="FFD1D5DB"/>
      </bottom>
      <diagonal/>
    </border>
    <border>
      <left style="thin">
        <color rgb="FFCBD5E1"/>
      </left>
      <right/>
      <top/>
      <bottom/>
      <diagonal/>
    </border>
    <border>
      <left/>
      <right style="thin">
        <color rgb="FFCBD5E1"/>
      </right>
      <top/>
      <bottom/>
      <diagonal/>
    </border>
    <border>
      <left style="thin">
        <color rgb="FFCBD5E1"/>
      </left>
      <right style="thin">
        <color rgb="FFD9E2D9"/>
      </right>
      <top style="thin">
        <color rgb="FFBFDBFE"/>
      </top>
      <bottom style="thin">
        <color rgb="FFD9E2D9"/>
      </bottom>
      <diagonal/>
    </border>
    <border>
      <left style="thin">
        <color rgb="FFD9E2D9"/>
      </left>
      <right style="thin">
        <color rgb="FFD9E2D9"/>
      </right>
      <top style="thin">
        <color rgb="FFBFDBFE"/>
      </top>
      <bottom style="thin">
        <color rgb="FFD9E2D9"/>
      </bottom>
      <diagonal/>
    </border>
    <border>
      <left/>
      <right style="thin">
        <color rgb="FFCBD5E1"/>
      </right>
      <top style="thin">
        <color rgb="FFBFDBFE"/>
      </top>
      <bottom/>
      <diagonal/>
    </border>
    <border>
      <left style="thin">
        <color rgb="FFCBD5E1"/>
      </left>
      <right style="thin">
        <color rgb="FFD9E2D9"/>
      </right>
      <top style="thin">
        <color rgb="FFD9E2D9"/>
      </top>
      <bottom style="thin">
        <color rgb="FFBFDBFE"/>
      </bottom>
      <diagonal/>
    </border>
    <border>
      <left style="thin">
        <color rgb="FFD9E2D9"/>
      </left>
      <right style="thin">
        <color rgb="FFD9E2D9"/>
      </right>
      <top style="thin">
        <color rgb="FFD9E2D9"/>
      </top>
      <bottom style="thin">
        <color rgb="FFBFDBFE"/>
      </bottom>
      <diagonal/>
    </border>
    <border>
      <left/>
      <right style="thin">
        <color rgb="FFCBD5E1"/>
      </right>
      <top/>
      <bottom style="thin">
        <color rgb="FFBFDBFE"/>
      </bottom>
      <diagonal/>
    </border>
    <border>
      <left style="thin">
        <color rgb="FFCBD5E1"/>
      </left>
      <right style="thin">
        <color rgb="FFD9E2D9"/>
      </right>
      <top/>
      <bottom/>
      <diagonal/>
    </border>
    <border>
      <left style="thin">
        <color rgb="FFD9E2D9"/>
      </left>
      <right style="thin">
        <color rgb="FFD9E2D9"/>
      </right>
      <top/>
      <bottom/>
      <diagonal/>
    </border>
    <border>
      <left style="thin">
        <color rgb="FFD9E2D9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D9E2D9"/>
      </right>
      <top style="thin">
        <color rgb="FFD9E2D9"/>
      </top>
      <bottom style="thin">
        <color rgb="FFD9E2D9"/>
      </bottom>
      <diagonal/>
    </border>
    <border>
      <left style="thin">
        <color rgb="FFD9E2D9"/>
      </left>
      <right/>
      <top/>
      <bottom style="thin">
        <color rgb="FFD9E2D9"/>
      </bottom>
      <diagonal/>
    </border>
    <border>
      <left style="thin">
        <color rgb="FFD9E2D9"/>
      </left>
      <right style="thin">
        <color rgb="FFCBD5E1"/>
      </right>
      <top style="thin">
        <color rgb="FFD9E2D9"/>
      </top>
      <bottom style="thin">
        <color rgb="FFD9E2D9"/>
      </bottom>
      <diagonal/>
    </border>
    <border>
      <left style="thin">
        <color rgb="FFD9E2D9"/>
      </left>
      <right/>
      <top style="thin">
        <color rgb="FFD9E2D9"/>
      </top>
      <bottom style="thin">
        <color rgb="FFD9E2D9"/>
      </bottom>
      <diagonal/>
    </border>
    <border>
      <left style="thin">
        <color rgb="FFCBD5E1"/>
      </left>
      <right style="thin">
        <color rgb="FFD9E2D9"/>
      </right>
      <top style="thin">
        <color rgb="FFD9E2D9"/>
      </top>
      <bottom style="thin">
        <color rgb="FFCBD5E1"/>
      </bottom>
      <diagonal/>
    </border>
    <border>
      <left style="thin">
        <color rgb="FFD9E2D9"/>
      </left>
      <right style="thin">
        <color rgb="FFD9E2D9"/>
      </right>
      <top style="thin">
        <color rgb="FFD9E2D9"/>
      </top>
      <bottom style="thin">
        <color rgb="FFCBD5E1"/>
      </bottom>
      <diagonal/>
    </border>
    <border>
      <left style="thin">
        <color rgb="FFD9E2D9"/>
      </left>
      <right/>
      <top style="thin">
        <color rgb="FFD9E2D9"/>
      </top>
      <bottom style="thin">
        <color rgb="FFCBD5E1"/>
      </bottom>
      <diagonal/>
    </border>
    <border>
      <left style="thin">
        <color rgb="FFD9E2D9"/>
      </left>
      <right style="thin">
        <color rgb="FFCBD5E1"/>
      </right>
      <top style="thin">
        <color rgb="FFD9E2D9"/>
      </top>
      <bottom style="thin">
        <color rgb="FFCBD5E1"/>
      </bottom>
      <diagonal/>
    </border>
  </borders>
  <cellStyleXfs count="5">
    <xf numFmtId="0" fontId="0" fillId="0" borderId="0"/>
    <xf numFmtId="0" fontId="1" fillId="0" borderId="0"/>
    <xf numFmtId="0" fontId="14" fillId="0" borderId="0"/>
    <xf numFmtId="0" fontId="14" fillId="0" borderId="0"/>
    <xf numFmtId="0" fontId="14" fillId="0" borderId="0"/>
  </cellStyleXfs>
  <cellXfs count="48">
    <xf numFmtId="0" fontId="0" fillId="0" borderId="0" xfId="0"/>
    <xf numFmtId="14" fontId="0" fillId="0" borderId="0" xfId="0" applyNumberFormat="1"/>
    <xf numFmtId="0" fontId="2" fillId="0" borderId="1" xfId="0" applyFont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0" fontId="3" fillId="2" borderId="3" xfId="0" applyFont="1" applyFill="1" applyBorder="1" applyAlignment="1">
      <alignment horizontal="left"/>
    </xf>
    <xf numFmtId="0" fontId="0" fillId="0" borderId="0" xfId="0" applyAlignment="1">
      <alignment wrapText="1"/>
    </xf>
    <xf numFmtId="0" fontId="4" fillId="3" borderId="0" xfId="0" applyFont="1" applyFill="1" applyAlignment="1">
      <alignment horizontal="center" vertical="center"/>
    </xf>
    <xf numFmtId="0" fontId="11" fillId="0" borderId="0" xfId="0" applyFont="1"/>
    <xf numFmtId="0" fontId="5" fillId="4" borderId="6" xfId="0" applyFont="1" applyFill="1" applyBorder="1" applyAlignment="1">
      <alignment horizontal="left" vertical="center" wrapText="1"/>
    </xf>
    <xf numFmtId="14" fontId="5" fillId="4" borderId="6" xfId="0" applyNumberFormat="1" applyFont="1" applyFill="1" applyBorder="1" applyAlignment="1">
      <alignment horizontal="left" vertical="center" wrapText="1"/>
    </xf>
    <xf numFmtId="14" fontId="6" fillId="5" borderId="7" xfId="0" applyNumberFormat="1" applyFont="1" applyFill="1" applyBorder="1" applyAlignment="1">
      <alignment horizontal="left" vertical="center" wrapText="1"/>
    </xf>
    <xf numFmtId="0" fontId="6" fillId="6" borderId="7" xfId="0" applyFont="1" applyFill="1" applyBorder="1" applyAlignment="1">
      <alignment horizontal="left" vertical="center" wrapText="1"/>
    </xf>
    <xf numFmtId="0" fontId="6" fillId="6" borderId="8" xfId="0" applyFont="1" applyFill="1" applyBorder="1" applyAlignment="1">
      <alignment horizontal="left" vertical="center" wrapText="1"/>
    </xf>
    <xf numFmtId="0" fontId="5" fillId="4" borderId="9" xfId="0" applyFont="1" applyFill="1" applyBorder="1" applyAlignment="1">
      <alignment horizontal="left" vertical="center" wrapText="1"/>
    </xf>
    <xf numFmtId="17" fontId="6" fillId="6" borderId="10" xfId="0" applyNumberFormat="1" applyFont="1" applyFill="1" applyBorder="1" applyAlignment="1">
      <alignment horizontal="left" vertical="center" wrapText="1"/>
    </xf>
    <xf numFmtId="0" fontId="6" fillId="6" borderId="10" xfId="0" applyFont="1" applyFill="1" applyBorder="1" applyAlignment="1">
      <alignment horizontal="left" vertical="center" wrapText="1"/>
    </xf>
    <xf numFmtId="0" fontId="6" fillId="6" borderId="11" xfId="0" applyFont="1" applyFill="1" applyBorder="1" applyAlignment="1">
      <alignment horizontal="left" vertical="center" wrapText="1"/>
    </xf>
    <xf numFmtId="0" fontId="12" fillId="6" borderId="12" xfId="0" applyFont="1" applyFill="1" applyBorder="1" applyAlignment="1">
      <alignment vertical="center"/>
    </xf>
    <xf numFmtId="0" fontId="12" fillId="6" borderId="0" xfId="0" applyFont="1" applyFill="1" applyAlignment="1">
      <alignment vertical="center"/>
    </xf>
    <xf numFmtId="0" fontId="12" fillId="6" borderId="13" xfId="0" applyFont="1" applyFill="1" applyBorder="1" applyAlignment="1">
      <alignment vertical="center"/>
    </xf>
    <xf numFmtId="0" fontId="8" fillId="7" borderId="16" xfId="0" applyFont="1" applyFill="1" applyBorder="1" applyAlignment="1">
      <alignment horizontal="left" vertical="center" wrapText="1"/>
    </xf>
    <xf numFmtId="0" fontId="8" fillId="7" borderId="19" xfId="0" applyFont="1" applyFill="1" applyBorder="1" applyAlignment="1">
      <alignment horizontal="left" vertical="center" wrapText="1"/>
    </xf>
    <xf numFmtId="0" fontId="9" fillId="3" borderId="20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9" fillId="3" borderId="22" xfId="0" applyFont="1" applyFill="1" applyBorder="1" applyAlignment="1">
      <alignment horizontal="center" vertical="center"/>
    </xf>
    <xf numFmtId="0" fontId="13" fillId="3" borderId="21" xfId="0" applyFont="1" applyFill="1" applyBorder="1" applyAlignment="1">
      <alignment horizontal="center" vertical="center"/>
    </xf>
    <xf numFmtId="0" fontId="10" fillId="6" borderId="23" xfId="0" applyFont="1" applyFill="1" applyBorder="1" applyAlignment="1">
      <alignment horizontal="left" vertical="center"/>
    </xf>
    <xf numFmtId="0" fontId="10" fillId="6" borderId="4" xfId="0" applyFont="1" applyFill="1" applyBorder="1" applyAlignment="1">
      <alignment horizontal="center" vertical="center"/>
    </xf>
    <xf numFmtId="0" fontId="10" fillId="6" borderId="4" xfId="0" applyFont="1" applyFill="1" applyBorder="1" applyAlignment="1">
      <alignment horizontal="left" vertical="center"/>
    </xf>
    <xf numFmtId="0" fontId="10" fillId="6" borderId="24" xfId="0" applyFont="1" applyFill="1" applyBorder="1" applyAlignment="1">
      <alignment horizontal="left" vertical="center"/>
    </xf>
    <xf numFmtId="0" fontId="10" fillId="6" borderId="25" xfId="0" applyFont="1" applyFill="1" applyBorder="1" applyAlignment="1">
      <alignment horizontal="center" vertical="center"/>
    </xf>
    <xf numFmtId="0" fontId="10" fillId="6" borderId="0" xfId="0" applyFont="1" applyFill="1" applyAlignment="1">
      <alignment vertical="center"/>
    </xf>
    <xf numFmtId="0" fontId="10" fillId="6" borderId="26" xfId="0" applyFont="1" applyFill="1" applyBorder="1" applyAlignment="1">
      <alignment horizontal="left" vertical="center"/>
    </xf>
    <xf numFmtId="0" fontId="10" fillId="6" borderId="27" xfId="0" applyFont="1" applyFill="1" applyBorder="1" applyAlignment="1">
      <alignment horizontal="left" vertical="center"/>
    </xf>
    <xf numFmtId="0" fontId="10" fillId="6" borderId="28" xfId="0" applyFont="1" applyFill="1" applyBorder="1" applyAlignment="1">
      <alignment horizontal="center" vertical="center"/>
    </xf>
    <xf numFmtId="0" fontId="10" fillId="6" borderId="28" xfId="0" applyFont="1" applyFill="1" applyBorder="1" applyAlignment="1">
      <alignment horizontal="left" vertical="center"/>
    </xf>
    <xf numFmtId="0" fontId="10" fillId="6" borderId="29" xfId="0" applyFont="1" applyFill="1" applyBorder="1" applyAlignment="1">
      <alignment horizontal="left" vertical="center"/>
    </xf>
    <xf numFmtId="0" fontId="10" fillId="6" borderId="30" xfId="0" applyFont="1" applyFill="1" applyBorder="1" applyAlignment="1">
      <alignment horizontal="center" vertical="center"/>
    </xf>
    <xf numFmtId="0" fontId="15" fillId="3" borderId="21" xfId="0" applyFont="1" applyFill="1" applyBorder="1" applyAlignment="1">
      <alignment horizontal="center" vertical="center"/>
    </xf>
    <xf numFmtId="0" fontId="17" fillId="4" borderId="9" xfId="0" applyFont="1" applyFill="1" applyBorder="1" applyAlignment="1">
      <alignment horizontal="left" vertical="center" wrapText="1"/>
    </xf>
    <xf numFmtId="0" fontId="7" fillId="7" borderId="14" xfId="0" applyFont="1" applyFill="1" applyBorder="1" applyAlignment="1">
      <alignment horizontal="left" vertical="center" wrapText="1"/>
    </xf>
    <xf numFmtId="0" fontId="7" fillId="7" borderId="15" xfId="0" applyFont="1" applyFill="1" applyBorder="1" applyAlignment="1">
      <alignment horizontal="left" vertical="center" wrapText="1"/>
    </xf>
    <xf numFmtId="0" fontId="7" fillId="7" borderId="17" xfId="0" applyFont="1" applyFill="1" applyBorder="1" applyAlignment="1">
      <alignment horizontal="left" vertical="center" wrapText="1"/>
    </xf>
    <xf numFmtId="0" fontId="7" fillId="7" borderId="18" xfId="0" applyFont="1" applyFill="1" applyBorder="1" applyAlignment="1">
      <alignment horizontal="left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 wrapText="1"/>
    </xf>
    <xf numFmtId="17" fontId="6" fillId="6" borderId="10" xfId="0" applyNumberFormat="1" applyFont="1" applyFill="1" applyBorder="1" applyAlignment="1">
      <alignment horizontal="left" vertical="center" wrapText="1" indent="1"/>
    </xf>
    <xf numFmtId="0" fontId="6" fillId="6" borderId="10" xfId="0" applyFont="1" applyFill="1" applyBorder="1" applyAlignment="1">
      <alignment horizontal="left" vertical="center" wrapText="1" indent="1"/>
    </xf>
  </cellXfs>
  <cellStyles count="5">
    <cellStyle name="Normal" xfId="0" builtinId="0"/>
    <cellStyle name="Normal 2" xfId="4" xr:uid="{F402F9AC-86B4-44FE-9222-0763B020C965}"/>
    <cellStyle name="Normal 2 2" xfId="1" xr:uid="{72CD3CD9-6281-4DB0-BD76-7CC5A1402F8A}"/>
    <cellStyle name="Normal 4" xfId="2" xr:uid="{247A91A3-4EDA-4786-B715-D2E09E4D1A62}"/>
    <cellStyle name="Normal 5" xfId="3" xr:uid="{30FF8F7E-5C72-4DF3-861D-3DC59D22D0A4}"/>
  </cellStyles>
  <dxfs count="37">
    <dxf>
      <font>
        <sz val="10"/>
        <color rgb="FF111827"/>
        <name val="Aptos"/>
      </font>
      <fill>
        <patternFill patternType="solid">
          <fgColor rgb="FF000000"/>
          <bgColor rgb="FFFFFFFF"/>
        </patternFill>
      </fill>
      <alignment vertical="center" wrapTex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11827"/>
        <name val="Aptos Narrow"/>
        <scheme val="none"/>
      </font>
      <numFmt numFmtId="0" formatCode="General"/>
      <fill>
        <patternFill patternType="solid">
          <fgColor rgb="FF000000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E2D9"/>
        </left>
        <right/>
        <top style="thin">
          <color rgb="FFD9E2D9"/>
        </top>
        <bottom style="thin">
          <color rgb="FFD9E2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11827"/>
        <name val="Aptos Narrow"/>
        <scheme val="none"/>
      </font>
      <numFmt numFmtId="0" formatCode="General"/>
      <fill>
        <patternFill patternType="solid">
          <fgColor rgb="FF000000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9E2D9"/>
        </left>
        <right/>
        <top style="thin">
          <color rgb="FFD9E2D9"/>
        </top>
        <bottom style="thin">
          <color rgb="FFD9E2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11827"/>
        <name val="Aptos"/>
        <scheme val="none"/>
      </font>
      <numFmt numFmtId="0" formatCode="General"/>
      <fill>
        <patternFill patternType="solid">
          <fgColor rgb="FF000000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9E2D9"/>
        </left>
        <right style="thin">
          <color rgb="FFD9E2D9"/>
        </right>
        <top style="thin">
          <color rgb="FFD9E2D9"/>
        </top>
        <bottom style="thin">
          <color rgb="FFD9E2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11827"/>
        <name val="Aptos"/>
        <scheme val="none"/>
      </font>
      <fill>
        <patternFill patternType="solid">
          <fgColor rgb="FF000000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9E2D9"/>
        </left>
        <right style="thin">
          <color rgb="FFD9E2D9"/>
        </right>
        <top style="thin">
          <color rgb="FFD9E2D9"/>
        </top>
        <bottom style="thin">
          <color rgb="FFD9E2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11827"/>
        <name val="Aptos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E2D9"/>
        </left>
        <right style="thin">
          <color rgb="FFD9E2D9"/>
        </right>
        <top style="thin">
          <color rgb="FFD9E2D9"/>
        </top>
        <bottom style="thin">
          <color rgb="FFD9E2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11827"/>
        <name val="Aptos"/>
        <scheme val="none"/>
      </font>
      <fill>
        <patternFill patternType="solid">
          <fgColor rgb="FF000000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CBD5E1"/>
        </left>
        <right style="thin">
          <color rgb="FFD9E2D9"/>
        </right>
        <top style="thin">
          <color rgb="FFD9E2D9"/>
        </top>
        <bottom style="thin">
          <color rgb="FFD9E2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11827"/>
        <name val="Aptos"/>
        <scheme val="none"/>
      </font>
      <fill>
        <patternFill patternType="solid">
          <fgColor rgb="FF000000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rgb="FFD9E2D9"/>
        </right>
        <top style="thin">
          <color rgb="FFD9E2D9"/>
        </top>
        <bottom style="thin">
          <color rgb="FFD9E2D9"/>
        </bottom>
        <vertical/>
        <horizontal/>
      </border>
    </dxf>
    <dxf>
      <border outline="0">
        <left style="thin">
          <color rgb="FFD9E2D9"/>
        </left>
        <right style="thin">
          <color rgb="FFD9E2D9"/>
        </right>
        <top style="thin">
          <color rgb="FFD9E2D9"/>
        </top>
        <bottom style="thin">
          <color rgb="FFD9E2D9"/>
        </bottom>
      </border>
    </dxf>
    <dxf>
      <font>
        <sz val="10"/>
        <color rgb="FF111827"/>
        <name val="Aptos"/>
      </font>
      <fill>
        <patternFill patternType="solid">
          <fgColor rgb="FF000000"/>
          <bgColor rgb="FFFFFFFF"/>
        </patternFill>
      </fill>
      <alignment vertical="center" wrapText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 Narrow"/>
        <scheme val="none"/>
      </font>
      <fill>
        <patternFill patternType="solid">
          <fgColor rgb="FF000000"/>
          <bgColor rgb="FF196B2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E2D9"/>
        </left>
        <right style="thin">
          <color rgb="FFD9E2D9"/>
        </right>
        <top/>
        <bottom/>
      </border>
    </dxf>
    <dxf>
      <font>
        <b/>
        <i val="0"/>
        <color rgb="FF991B1B"/>
      </font>
      <fill>
        <patternFill patternType="solid">
          <fgColor rgb="FF000000"/>
          <bgColor rgb="FFFEE2E2"/>
        </patternFill>
      </fill>
    </dxf>
    <dxf>
      <font>
        <b/>
        <i val="0"/>
        <color rgb="FF166534"/>
      </font>
      <fill>
        <patternFill patternType="solid">
          <fgColor rgb="FF000000"/>
          <bgColor rgb="FFDCFCE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center" vertical="center" textRotation="0" wrapText="0" indent="0" justifyLastLine="0" shrinkToFit="0" readingOrder="0"/>
    </dxf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top style="thin">
          <color theme="6"/>
        </top>
      </border>
    </dxf>
    <dxf>
      <border>
        <top style="thin">
          <color theme="6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6"/>
        </top>
      </border>
    </dxf>
    <dxf>
      <font>
        <b/>
        <i val="0"/>
        <color theme="0"/>
      </font>
      <fill>
        <patternFill patternType="solid">
          <fgColor theme="6"/>
          <bgColor theme="4" tint="0.79998168889431442"/>
        </patternFill>
      </fill>
    </dxf>
    <dxf>
      <font>
        <color theme="1"/>
      </font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ill>
        <patternFill patternType="solid">
          <fgColor rgb="FFC0E6F5"/>
          <bgColor rgb="FFC0E6F5"/>
        </patternFill>
      </fill>
    </dxf>
    <dxf>
      <fill>
        <patternFill patternType="solid">
          <fgColor rgb="FFC0E6F5"/>
          <bgColor rgb="FFC0E6F5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156082"/>
        </top>
      </border>
    </dxf>
    <dxf>
      <font>
        <b/>
        <color rgb="FFFFFFFF"/>
      </font>
      <fill>
        <patternFill patternType="solid">
          <fgColor rgb="FF156082"/>
          <bgColor rgb="FF156082"/>
        </patternFill>
      </fill>
    </dxf>
    <dxf>
      <font>
        <color rgb="FF000000"/>
      </font>
      <border>
        <left style="thin">
          <color rgb="FF44B3E1"/>
        </left>
        <right style="thin">
          <color rgb="FF44B3E1"/>
        </right>
        <top style="thin">
          <color rgb="FF44B3E1"/>
        </top>
        <bottom style="thin">
          <color rgb="FF44B3E1"/>
        </bottom>
        <horizontal style="thin">
          <color rgb="FF44B3E1"/>
        </horizontal>
      </border>
    </dxf>
  </dxfs>
  <tableStyles count="2" defaultTableStyle="TableStyleMedium2" defaultPivotStyle="PivotStyleLight16">
    <tableStyle name="TableStyleMedium2 2" pivot="0" count="7" xr9:uid="{2232A46C-99EF-4129-B0EE-358A3DA02FB2}">
      <tableStyleElement type="wholeTable" dxfId="36"/>
      <tableStyleElement type="headerRow" dxfId="35"/>
      <tableStyleElement type="totalRow" dxfId="34"/>
      <tableStyleElement type="firstColumn" dxfId="33"/>
      <tableStyleElement type="lastColumn" dxfId="32"/>
      <tableStyleElement type="firstRowStripe" dxfId="31"/>
      <tableStyleElement type="firstColumnStripe" dxfId="30"/>
    </tableStyle>
    <tableStyle name="TableStyleLight11 2" pivot="0" count="9" xr9:uid="{B5CD0623-98AF-43E6-AD9A-30943A0496D1}">
      <tableStyleElement type="wholeTable" dxfId="29"/>
      <tableStyleElement type="headerRow" dxfId="28"/>
      <tableStyleElement type="totalRow" dxfId="27"/>
      <tableStyleElement type="firstColumn" dxfId="26"/>
      <tableStyleElement type="lastColumn" dxfId="25"/>
      <tableStyleElement type="firstRowStripe" dxfId="24"/>
      <tableStyleElement type="secondRowStripe" dxfId="23"/>
      <tableStyleElement type="firstColumnStripe" dxfId="22"/>
      <tableStyleElement type="secondColumn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11</xdr:row>
      <xdr:rowOff>57150</xdr:rowOff>
    </xdr:from>
    <xdr:to>
      <xdr:col>1</xdr:col>
      <xdr:colOff>933450</xdr:colOff>
      <xdr:row>12</xdr:row>
      <xdr:rowOff>152400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0CE24D27-F8C1-4E57-8FF4-232F4BB2B7EB}"/>
            </a:ext>
          </a:extLst>
        </xdr:cNvPr>
        <xdr:cNvSpPr/>
      </xdr:nvSpPr>
      <xdr:spPr>
        <a:xfrm>
          <a:off x="828675" y="2962275"/>
          <a:ext cx="866775" cy="285750"/>
        </a:xfrm>
        <a:prstGeom prst="roundRect">
          <a:avLst/>
        </a:prstGeom>
        <a:solidFill>
          <a:sysClr val="windowText" lastClr="000000">
            <a:alpha val="50000"/>
          </a:sysClr>
        </a:solidFill>
        <a:ln>
          <a:noFill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Lancer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2</xdr:row>
          <xdr:rowOff>38100</xdr:rowOff>
        </xdr:from>
        <xdr:to>
          <xdr:col>6</xdr:col>
          <xdr:colOff>485775</xdr:colOff>
          <xdr:row>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4EB291E-B341-4B5D-AA1B-8BCA2C822774}" name="TableauReportingFEI" displayName="TableauReportingFEI" ref="B17:I31" totalsRowShown="0" headerRowDxfId="10" dataDxfId="9" tableBorderDxfId="8">
  <autoFilter ref="B17:I31" xr:uid="{C4EB291E-B341-4B5D-AA1B-8BCA2C822774}"/>
  <tableColumns count="8">
    <tableColumn id="8" xr3:uid="{78855F14-206D-4CD2-A4F1-44C3392DF86E}" name="ENVELOPPE" dataDxfId="7"/>
    <tableColumn id="1" xr3:uid="{EFEACB5F-7295-4D70-A309-78B7714728F9}" name="NOM  REPORTING KLS" dataDxfId="6"/>
    <tableColumn id="2" xr3:uid="{7DFB646F-1118-4008-BC98-CBE9244BB38A}" name="Lancer" dataDxfId="5"/>
    <tableColumn id="3" xr3:uid="{0707E5A6-7597-4F3B-AD66-506A0FB9A958}" name="Repertoire " dataDxfId="4">
      <calculatedColumnFormula>$C$8&amp;"\"&amp;B18</calculatedColumnFormula>
    </tableColumn>
    <tableColumn id="4" xr3:uid="{10F5BEB3-75B8-4338-892E-6D564B1554E9}" name="Dernier fichier modifié" dataDxfId="3">
      <calculatedColumnFormula array="1">lastFile(E18)</calculatedColumnFormula>
    </tableColumn>
    <tableColumn id="5" xr3:uid="{E2CB23AC-7E05-4D3E-9683-5C3713EDC4F5}" name="Extraction KLS" dataDxfId="2">
      <calculatedColumnFormula>$C$11&amp;"\"&amp;C18&amp;"_"&amp;YEAR($C$5)&amp;"."&amp;TEXT($C$5,"mm")&amp;".xlsx"</calculatedColumnFormula>
    </tableColumn>
    <tableColumn id="6" xr3:uid="{B4B83E39-29B6-4421-A4DB-7ADB8948D40E}" name="Existence du fichier extraction" dataDxfId="1">
      <calculatedColumnFormula array="1">VerifierFichier(TableauReportingFEI[[#This Row],[Extraction KLS]])</calculatedColumnFormula>
    </tableColumn>
    <tableColumn id="7" xr3:uid="{A1C8970D-C75C-4F2C-BB5C-2662BCBDEBC2}" name="date act" dataDxfId="0"/>
  </tableColumns>
  <tableStyleInfo name="TableStyleMedium2 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A5D831-74AD-4843-BD24-553B2D1E4EE9}" name="Tableau1" displayName="Tableau1" ref="A1:G853" totalsRowShown="0" dataDxfId="20" dataCellStyle="Normal 2 2">
  <autoFilter ref="A1:G853" xr:uid="{43A5D831-74AD-4843-BD24-553B2D1E4EE9}">
    <filterColumn colId="2">
      <filters>
        <filter val="ALTERNA QQ_AAAA Table F"/>
        <filter val="AURA QQ_AAAA Table F"/>
        <filter val="EGF CAPEE QQ_AAAA Table F"/>
        <filter val="EGF NON CAPEE QQ_AAAA Table F"/>
        <filter val="FOSTER QQ_AAAA Table F"/>
        <filter val="FOSTER2 AGRI QQ_AAAA Table F"/>
        <filter val="FOSTER2 PRO QQ_AAAA Table F"/>
        <filter val="INAF QQ_AAAA Table F"/>
        <filter val="INAF_2025 QQ_AAAA Table F"/>
        <filter val="INVEST EU Table F"/>
        <filter val="NORMANDIE QQ_AAAA Table F"/>
      </filters>
    </filterColumn>
  </autoFilter>
  <tableColumns count="7">
    <tableColumn id="1" xr3:uid="{8DA5675D-2FB3-46D1-9226-60016EC941D8}" name="ENVELOPPE" dataDxfId="19"/>
    <tableColumn id="2" xr3:uid="{AA7A47AD-B164-4EB8-9020-4EC980F290E9}" name="MODELE" dataDxfId="18" dataCellStyle="Normal 2 2"/>
    <tableColumn id="3" xr3:uid="{115AAF59-467C-4A1F-ACD8-5A9B46DCA252}" name="ONGLET" dataDxfId="17" dataCellStyle="Normal 2 2"/>
    <tableColumn id="4" xr3:uid="{FB22EC8C-A629-488A-996B-1F7BDD77BF73}" name="ENTETE" dataDxfId="16" dataCellStyle="Normal 2 2"/>
    <tableColumn id="5" xr3:uid="{5B8DE388-DB52-40CD-9508-10942BB5B5F3}" name="LIB_ENTETE" dataDxfId="15" dataCellStyle="Normal 2 2"/>
    <tableColumn id="6" xr3:uid="{999F4E14-C21A-49BB-A9BD-111498B58B9D}" name="TYPE_ENTETE" dataDxfId="14" dataCellStyle="Normal 2 2"/>
    <tableColumn id="7" xr3:uid="{31E9B69B-A0EA-42C6-95E5-B7CDA02FFB92}" name="COLONNE REPORTING" dataDxfId="13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F355E-AE91-425F-8E2F-01F7F5864635}">
  <sheetPr codeName="Feuil5"/>
  <dimension ref="B1:I31"/>
  <sheetViews>
    <sheetView workbookViewId="0">
      <selection activeCell="B12" sqref="B12"/>
    </sheetView>
  </sheetViews>
  <sheetFormatPr baseColWidth="10" defaultRowHeight="15" x14ac:dyDescent="0.25"/>
  <cols>
    <col min="2" max="2" width="37.7109375" customWidth="1"/>
    <col min="3" max="3" width="49.5703125" customWidth="1"/>
    <col min="4" max="4" width="18.5703125" customWidth="1"/>
    <col min="5" max="5" width="57.85546875" customWidth="1"/>
    <col min="6" max="6" width="57.140625" customWidth="1"/>
    <col min="7" max="7" width="62.7109375" customWidth="1"/>
    <col min="8" max="8" width="28.28515625" customWidth="1"/>
    <col min="9" max="9" width="22.7109375" customWidth="1"/>
  </cols>
  <sheetData>
    <row r="1" spans="2:8" ht="24" x14ac:dyDescent="0.25">
      <c r="B1" s="44" t="s">
        <v>638</v>
      </c>
      <c r="C1" s="44"/>
      <c r="D1" s="44"/>
      <c r="E1" s="44"/>
      <c r="F1" s="44"/>
      <c r="G1" s="6"/>
      <c r="H1" s="7"/>
    </row>
    <row r="2" spans="2:8" ht="24" x14ac:dyDescent="0.25">
      <c r="B2" s="45"/>
      <c r="C2" s="45"/>
      <c r="D2" s="45"/>
      <c r="E2" s="45"/>
      <c r="F2" s="45"/>
      <c r="G2" s="6"/>
      <c r="H2" s="7"/>
    </row>
    <row r="3" spans="2:8" x14ac:dyDescent="0.25">
      <c r="B3" s="8" t="s">
        <v>626</v>
      </c>
      <c r="C3" s="9">
        <v>46147</v>
      </c>
      <c r="D3" s="8"/>
      <c r="E3" s="8"/>
      <c r="F3" s="8"/>
      <c r="G3" s="8"/>
      <c r="H3" s="7"/>
    </row>
    <row r="4" spans="2:8" x14ac:dyDescent="0.25">
      <c r="B4" s="8" t="s">
        <v>627</v>
      </c>
      <c r="C4" s="10">
        <f ca="1">TODAY()</f>
        <v>46182</v>
      </c>
      <c r="D4" s="11"/>
      <c r="E4" s="11"/>
      <c r="F4" s="11"/>
      <c r="G4" s="12"/>
      <c r="H4" s="7"/>
    </row>
    <row r="5" spans="2:8" x14ac:dyDescent="0.25">
      <c r="B5" s="13" t="s">
        <v>628</v>
      </c>
      <c r="C5" s="14">
        <f>IF(C3&gt;0,EDATE(C3,-1),EDATE(C4,-1))</f>
        <v>46117</v>
      </c>
      <c r="D5" s="15"/>
      <c r="E5" s="15"/>
      <c r="F5" s="15"/>
      <c r="G5" s="16"/>
      <c r="H5" s="7"/>
    </row>
    <row r="6" spans="2:8" x14ac:dyDescent="0.25">
      <c r="B6" s="39" t="s">
        <v>661</v>
      </c>
      <c r="C6" s="14"/>
      <c r="D6" s="15"/>
      <c r="E6" s="15"/>
      <c r="F6" s="15"/>
      <c r="G6" s="16"/>
      <c r="H6" s="7"/>
    </row>
    <row r="7" spans="2:8" x14ac:dyDescent="0.25">
      <c r="B7" s="39" t="s">
        <v>662</v>
      </c>
      <c r="C7" s="14"/>
      <c r="D7" s="15"/>
      <c r="E7" s="15"/>
      <c r="F7" s="15"/>
      <c r="G7" s="16"/>
      <c r="H7" s="7"/>
    </row>
    <row r="8" spans="2:8" x14ac:dyDescent="0.25">
      <c r="B8" s="13" t="s">
        <v>655</v>
      </c>
      <c r="C8" s="46" t="s">
        <v>654</v>
      </c>
      <c r="D8" s="46"/>
      <c r="E8" s="46"/>
      <c r="F8" s="46"/>
      <c r="G8" s="16"/>
      <c r="H8" s="7"/>
    </row>
    <row r="9" spans="2:8" x14ac:dyDescent="0.25">
      <c r="B9" s="13" t="s">
        <v>653</v>
      </c>
      <c r="C9" s="46" t="str">
        <f>"N:\Projets01\ROBOTISATION_BO\459 - Reporting FEI Appel en garantie\Defauts\"&amp;YEAR($C$5)&amp;"."&amp;TEXT($C$5,"mm")&amp;"\"</f>
        <v>N:\Projets01\ROBOTISATION_BO\459 - Reporting FEI Appel en garantie\Defauts\2026.04\</v>
      </c>
      <c r="D9" s="46"/>
      <c r="E9" s="46"/>
      <c r="F9" s="46"/>
      <c r="G9" s="16" t="s">
        <v>629</v>
      </c>
      <c r="H9" s="7"/>
    </row>
    <row r="10" spans="2:8" x14ac:dyDescent="0.25">
      <c r="B10" s="13" t="s">
        <v>630</v>
      </c>
      <c r="C10" s="47" t="s">
        <v>631</v>
      </c>
      <c r="D10" s="47"/>
      <c r="E10" s="47"/>
      <c r="F10" s="47"/>
      <c r="G10" s="16"/>
      <c r="H10" s="7"/>
    </row>
    <row r="11" spans="2:8" ht="27.75" customHeight="1" x14ac:dyDescent="0.25">
      <c r="B11" s="13" t="s">
        <v>632</v>
      </c>
      <c r="C11" s="47" t="str">
        <f>"N:\Projets01\ROBOTISATION_BO\303 - Reporting FEI\SOURCE\KLS\"&amp;YEAR($C$5)&amp;"."&amp;TEXT($C$5,"mm")</f>
        <v>N:\Projets01\ROBOTISATION_BO\303 - Reporting FEI\SOURCE\KLS\2026.04</v>
      </c>
      <c r="D11" s="47"/>
      <c r="E11" s="47"/>
      <c r="F11" s="47"/>
      <c r="G11" s="16" t="s">
        <v>633</v>
      </c>
      <c r="H11" s="7"/>
    </row>
    <row r="12" spans="2:8" x14ac:dyDescent="0.25">
      <c r="B12" s="17"/>
      <c r="C12" s="18"/>
      <c r="D12" s="18"/>
      <c r="E12" s="18"/>
      <c r="F12" s="18"/>
      <c r="G12" s="19"/>
      <c r="H12" s="7"/>
    </row>
    <row r="13" spans="2:8" x14ac:dyDescent="0.25">
      <c r="B13" s="17"/>
      <c r="C13" s="18"/>
      <c r="D13" s="18"/>
      <c r="E13" s="18"/>
      <c r="F13" s="18"/>
      <c r="G13" s="19"/>
      <c r="H13" s="7"/>
    </row>
    <row r="14" spans="2:8" x14ac:dyDescent="0.25">
      <c r="B14" s="40" t="s">
        <v>634</v>
      </c>
      <c r="C14" s="41"/>
      <c r="D14" s="41"/>
      <c r="E14" s="41"/>
      <c r="F14" s="41"/>
      <c r="G14" s="20"/>
      <c r="H14" s="7"/>
    </row>
    <row r="15" spans="2:8" x14ac:dyDescent="0.25">
      <c r="B15" s="42"/>
      <c r="C15" s="43"/>
      <c r="D15" s="43"/>
      <c r="E15" s="43"/>
      <c r="F15" s="43"/>
      <c r="G15" s="21"/>
      <c r="H15" s="7"/>
    </row>
    <row r="16" spans="2:8" x14ac:dyDescent="0.25">
      <c r="B16" s="17"/>
      <c r="C16" s="18"/>
      <c r="D16" s="18"/>
      <c r="E16" s="18"/>
      <c r="F16" s="18"/>
      <c r="G16" s="19"/>
      <c r="H16" s="7"/>
    </row>
    <row r="17" spans="2:9" x14ac:dyDescent="0.25">
      <c r="B17" s="38" t="s">
        <v>25</v>
      </c>
      <c r="C17" s="22" t="s">
        <v>659</v>
      </c>
      <c r="D17" s="23" t="s">
        <v>635</v>
      </c>
      <c r="E17" s="23" t="s">
        <v>656</v>
      </c>
      <c r="F17" s="23" t="s">
        <v>660</v>
      </c>
      <c r="G17" s="23" t="s">
        <v>657</v>
      </c>
      <c r="H17" s="24" t="s">
        <v>658</v>
      </c>
      <c r="I17" s="25" t="s">
        <v>636</v>
      </c>
    </row>
    <row r="18" spans="2:9" x14ac:dyDescent="0.25">
      <c r="B18" t="s">
        <v>509</v>
      </c>
      <c r="C18" s="26" t="s">
        <v>639</v>
      </c>
      <c r="D18" s="27" t="s">
        <v>637</v>
      </c>
      <c r="E18" s="28" t="str">
        <f>$C$8&amp;"\"&amp;B18</f>
        <v>C:\Users\MJ811HP\Desktop\303\BASE\FEI\FOSTER2 PRO</v>
      </c>
      <c r="F18" s="28" t="str" cm="1">
        <f t="array" ref="F18">lastFile(E18)</f>
        <v>20260424_173746_FOSTER2 PRO_Q1-2026_Dossier travail.xlsx</v>
      </c>
      <c r="G18" s="29" t="str">
        <f t="shared" ref="G18:G31" si="0">$C$11&amp;"\"&amp;C18&amp;"_"&amp;YEAR($C$5)&amp;"."&amp;TEXT($C$5,"mm")&amp;".xlsx"</f>
        <v>N:\Projets01\ROBOTISATION_BO\303 - Reporting FEI\SOURCE\KLS\2026.04\MODIFICATION_FOSTER_2_PRO_2026.04.xlsx</v>
      </c>
      <c r="H18" s="30" t="str" cm="1">
        <f t="array" ref="H18">VerifierFichier(TableauReportingFEI[[#This Row],[Extraction KLS]])</f>
        <v>Non</v>
      </c>
      <c r="I18" s="31"/>
    </row>
    <row r="19" spans="2:9" x14ac:dyDescent="0.25">
      <c r="B19" t="s">
        <v>290</v>
      </c>
      <c r="C19" s="26" t="s">
        <v>640</v>
      </c>
      <c r="D19" s="27" t="s">
        <v>637</v>
      </c>
      <c r="E19" s="28" t="str">
        <f t="shared" ref="E19:E31" si="1">$C$8&amp;"\"&amp;B19</f>
        <v>C:\Users\MJ811HP\Desktop\303\BASE\FEI\EGF CAPEE</v>
      </c>
      <c r="F19" s="28" t="str" cm="1">
        <f t="array" ref="F19">lastFile(E19)</f>
        <v>20260417_135221_EGF CAPEE_Q1-2026_Dossier travail.xlsx</v>
      </c>
      <c r="G19" s="32" t="str">
        <f t="shared" si="0"/>
        <v>N:\Projets01\ROBOTISATION_BO\303 - Reporting FEI\SOURCE\KLS\2026.04\MODIFICATION_EGF_CAPEE_MARCHE_ENTREPRISES_2026.04.xlsx</v>
      </c>
      <c r="H19" s="30" t="str" cm="1">
        <f t="array" ref="H19">VerifierFichier(TableauReportingFEI[[#This Row],[Extraction KLS]])</f>
        <v>Non</v>
      </c>
      <c r="I19" s="31"/>
    </row>
    <row r="20" spans="2:9" x14ac:dyDescent="0.25">
      <c r="B20" t="s">
        <v>290</v>
      </c>
      <c r="C20" s="26" t="s">
        <v>641</v>
      </c>
      <c r="D20" s="27" t="s">
        <v>637</v>
      </c>
      <c r="E20" s="28" t="str">
        <f t="shared" si="1"/>
        <v>C:\Users\MJ811HP\Desktop\303\BASE\FEI\EGF CAPEE</v>
      </c>
      <c r="F20" s="28" t="str" cm="1">
        <f t="array" ref="F20">lastFile(E20)</f>
        <v>20260417_135221_EGF CAPEE_Q1-2026_Dossier travail.xlsx</v>
      </c>
      <c r="G20" s="32" t="str">
        <f t="shared" si="0"/>
        <v>N:\Projets01\ROBOTISATION_BO\303 - Reporting FEI\SOURCE\KLS\2026.04\MODIFICATION_EGF_CAPEE_MARCHE_PRO_AGRI_2026.04.xlsx</v>
      </c>
      <c r="H20" s="30" t="str" cm="1">
        <f t="array" ref="H20">VerifierFichier(TableauReportingFEI[[#This Row],[Extraction KLS]])</f>
        <v>Non</v>
      </c>
      <c r="I20" s="31"/>
    </row>
    <row r="21" spans="2:9" x14ac:dyDescent="0.25">
      <c r="B21" t="s">
        <v>375</v>
      </c>
      <c r="C21" s="26" t="s">
        <v>642</v>
      </c>
      <c r="D21" s="27" t="s">
        <v>637</v>
      </c>
      <c r="E21" s="28" t="str">
        <f t="shared" si="1"/>
        <v>C:\Users\MJ811HP\Desktop\303\BASE\FEI\EGF NON CAPEE</v>
      </c>
      <c r="F21" s="28" t="str" cm="1">
        <f t="array" ref="F21">lastFile(E21)</f>
        <v>20260417_180354_EGF NON CAPEE_Q1-2026-Dossier travail.xlsx</v>
      </c>
      <c r="G21" s="32" t="str">
        <f t="shared" si="0"/>
        <v>N:\Projets01\ROBOTISATION_BO\303 - Reporting FEI\SOURCE\KLS\2026.04\MODIFICATION_EGF_NON_CAPEE_MARCHE_ENTREPRISES_2026.04.xlsx</v>
      </c>
      <c r="H21" s="30" t="str" cm="1">
        <f t="array" ref="H21">VerifierFichier(TableauReportingFEI[[#This Row],[Extraction KLS]])</f>
        <v>Non</v>
      </c>
      <c r="I21" s="31"/>
    </row>
    <row r="22" spans="2:9" x14ac:dyDescent="0.25">
      <c r="B22" t="s">
        <v>375</v>
      </c>
      <c r="C22" s="26" t="s">
        <v>643</v>
      </c>
      <c r="D22" s="27" t="s">
        <v>637</v>
      </c>
      <c r="E22" s="28" t="str">
        <f t="shared" si="1"/>
        <v>C:\Users\MJ811HP\Desktop\303\BASE\FEI\EGF NON CAPEE</v>
      </c>
      <c r="F22" s="28" t="str" cm="1">
        <f t="array" ref="F22">lastFile(E22)</f>
        <v>20260417_180354_EGF NON CAPEE_Q1-2026-Dossier travail.xlsx</v>
      </c>
      <c r="G22" s="32" t="str">
        <f t="shared" si="0"/>
        <v>N:\Projets01\ROBOTISATION_BO\303 - Reporting FEI\SOURCE\KLS\2026.04\MODIFICATION_EGF_NON_CAPEE_MARCHE_PRO_AGRI_2026.04.xlsx</v>
      </c>
      <c r="H22" s="30" t="str" cm="1">
        <f t="array" ref="H22">VerifierFichier(TableauReportingFEI[[#This Row],[Extraction KLS]])</f>
        <v>Non</v>
      </c>
      <c r="I22" s="31"/>
    </row>
    <row r="23" spans="2:9" x14ac:dyDescent="0.25">
      <c r="B23" t="s">
        <v>384</v>
      </c>
      <c r="C23" s="26" t="s">
        <v>644</v>
      </c>
      <c r="D23" s="27" t="s">
        <v>637</v>
      </c>
      <c r="E23" s="28" t="str">
        <f t="shared" si="1"/>
        <v>C:\Users\MJ811HP\Desktop\303\BASE\FEI\INVEST EU</v>
      </c>
      <c r="F23" s="28" t="str" cm="1">
        <f t="array" ref="F23">lastFile(E23)</f>
        <v>20260420_140444_INVEST EU_Q1-2026_Dossier travail.xlsx</v>
      </c>
      <c r="G23" s="32" t="str">
        <f t="shared" si="0"/>
        <v>N:\Projets01\ROBOTISATION_BO\303 - Reporting FEI\SOURCE\KLS\2026.04\MODIFICATION_INVEST_EU_INNOVATION_ET_DIGITALISATION_2026.04.xlsx</v>
      </c>
      <c r="H23" s="30" t="str" cm="1">
        <f t="array" ref="H23">VerifierFichier(TableauReportingFEI[[#This Row],[Extraction KLS]])</f>
        <v>Non</v>
      </c>
      <c r="I23" s="31"/>
    </row>
    <row r="24" spans="2:9" x14ac:dyDescent="0.25">
      <c r="B24" t="s">
        <v>267</v>
      </c>
      <c r="C24" s="26" t="s">
        <v>645</v>
      </c>
      <c r="D24" s="27" t="s">
        <v>637</v>
      </c>
      <c r="E24" s="28" t="str">
        <f t="shared" si="1"/>
        <v>C:\Users\MJ811HP\Desktop\303\BASE\FEI\FOSTER</v>
      </c>
      <c r="F24" s="28" t="str" cm="1">
        <f t="array" ref="F24">lastFile(E24)</f>
        <v>20260417_093602_FOSTER_Q1-2026_Dossier travail.xlsx</v>
      </c>
      <c r="G24" s="32" t="str">
        <f t="shared" si="0"/>
        <v>N:\Projets01\ROBOTISATION_BO\303 - Reporting FEI\SOURCE\KLS\2026.04\MODIFICATION_FOSTER_2026.04.xlsx</v>
      </c>
      <c r="H24" s="30" t="str" cm="1">
        <f t="array" ref="H24">VerifierFichier(TableauReportingFEI[[#This Row],[Extraction KLS]])</f>
        <v>Non</v>
      </c>
      <c r="I24" s="31"/>
    </row>
    <row r="25" spans="2:9" x14ac:dyDescent="0.25">
      <c r="B25" t="s">
        <v>538</v>
      </c>
      <c r="C25" s="26" t="s">
        <v>646</v>
      </c>
      <c r="D25" s="27" t="s">
        <v>637</v>
      </c>
      <c r="E25" s="28" t="str">
        <f t="shared" si="1"/>
        <v>C:\Users\MJ811HP\Desktop\303\BASE\FEI\FOSTER2 AGRI</v>
      </c>
      <c r="F25" s="28" t="str" cm="1">
        <f t="array" ref="F25">lastFile(E25)</f>
        <v>20260427_172748_FOSTER2 AGRI_Q1-2026.xlsx</v>
      </c>
      <c r="G25" s="32" t="str">
        <f t="shared" si="0"/>
        <v>N:\Projets01\ROBOTISATION_BO\303 - Reporting FEI\SOURCE\KLS\2026.04\MODIFICATION_FOSTER_2_AGRI_2026.04.xlsx</v>
      </c>
      <c r="H25" s="30" t="str" cm="1">
        <f t="array" ref="H25">VerifierFichier(TableauReportingFEI[[#This Row],[Extraction KLS]])</f>
        <v>Non</v>
      </c>
      <c r="I25" s="31"/>
    </row>
    <row r="26" spans="2:9" x14ac:dyDescent="0.25">
      <c r="B26" t="s">
        <v>199</v>
      </c>
      <c r="C26" s="26" t="s">
        <v>647</v>
      </c>
      <c r="D26" s="27" t="s">
        <v>637</v>
      </c>
      <c r="E26" s="28" t="str">
        <f t="shared" si="1"/>
        <v>C:\Users\MJ811HP\Desktop\303\BASE\FEI\INAF</v>
      </c>
      <c r="F26" s="28" t="str" cm="1">
        <f t="array" ref="F26">lastFile(E26)</f>
        <v>20260424_175415_INAF.xlsx</v>
      </c>
      <c r="G26" s="32" t="str">
        <f t="shared" si="0"/>
        <v>N:\Projets01\ROBOTISATION_BO\303 - Reporting FEI\SOURCE\KLS\2026.04\MODIFICATION_INAF_2020_2026.04.xlsx</v>
      </c>
      <c r="H26" s="30" t="str" cm="1">
        <f t="array" ref="H26">VerifierFichier(TableauReportingFEI[[#This Row],[Extraction KLS]])</f>
        <v>Non</v>
      </c>
      <c r="I26" s="31"/>
    </row>
    <row r="27" spans="2:9" x14ac:dyDescent="0.25">
      <c r="B27" t="s">
        <v>384</v>
      </c>
      <c r="C27" s="26" t="s">
        <v>648</v>
      </c>
      <c r="D27" s="27" t="s">
        <v>637</v>
      </c>
      <c r="E27" s="28" t="str">
        <f t="shared" si="1"/>
        <v>C:\Users\MJ811HP\Desktop\303\BASE\FEI\INVEST EU</v>
      </c>
      <c r="F27" s="28" t="str" cm="1">
        <f t="array" ref="F27">lastFile(E27)</f>
        <v>20260420_140444_INVEST EU_Q1-2026_Dossier travail.xlsx</v>
      </c>
      <c r="G27" s="32" t="str">
        <f t="shared" si="0"/>
        <v>N:\Projets01\ROBOTISATION_BO\303 - Reporting FEI\SOURCE\KLS\2026.04\MODIFICATION_INVEST_EU_DURABILITE_2026.04.xlsx</v>
      </c>
      <c r="H27" s="30" t="str" cm="1">
        <f t="array" ref="H27">VerifierFichier(TableauReportingFEI[[#This Row],[Extraction KLS]])</f>
        <v>Non</v>
      </c>
      <c r="I27" s="31"/>
    </row>
    <row r="28" spans="2:9" x14ac:dyDescent="0.25">
      <c r="B28" t="s">
        <v>31</v>
      </c>
      <c r="C28" s="26" t="s">
        <v>649</v>
      </c>
      <c r="D28" s="27" t="s">
        <v>637</v>
      </c>
      <c r="E28" s="28" t="str">
        <f t="shared" si="1"/>
        <v>C:\Users\MJ811HP\Desktop\303\BASE\FEI\ALTERNA</v>
      </c>
      <c r="F28" s="28" t="str" cm="1">
        <f t="array" ref="F28">lastFile(E28)</f>
        <v>20260417_141337_ALTERNA_Q1-2026.xlsx</v>
      </c>
      <c r="G28" s="32" t="str">
        <f t="shared" si="0"/>
        <v>N:\Projets01\ROBOTISATION_BO\303 - Reporting FEI\SOURCE\KLS\2026.04\MODIFICATION_NOUVELLE_ENVELOPPE_ALTERN'A_2026.04.xlsx</v>
      </c>
      <c r="H28" s="30" t="str" cm="1">
        <f t="array" ref="H28">VerifierFichier(TableauReportingFEI[[#This Row],[Extraction KLS]])</f>
        <v>Non</v>
      </c>
      <c r="I28" s="31"/>
    </row>
    <row r="29" spans="2:9" x14ac:dyDescent="0.25">
      <c r="B29" t="s">
        <v>565</v>
      </c>
      <c r="C29" s="26" t="s">
        <v>650</v>
      </c>
      <c r="D29" s="27" t="s">
        <v>637</v>
      </c>
      <c r="E29" s="28" t="str">
        <f t="shared" si="1"/>
        <v>C:\Users\MJ811HP\Desktop\303\BASE\FEI\AURA</v>
      </c>
      <c r="F29" s="28" t="str" cm="1">
        <f t="array" ref="F29">lastFile(E29)</f>
        <v>20260422_154954_AURA_Q1-2026_Dossier travail.xlsx</v>
      </c>
      <c r="G29" s="32" t="str">
        <f t="shared" si="0"/>
        <v>N:\Projets01\ROBOTISATION_BO\303 - Reporting FEI\SOURCE\KLS\2026.04\MODIFICATION_AURA_2026.04.xlsx</v>
      </c>
      <c r="H29" s="30" t="str" cm="1">
        <f t="array" ref="H29">VerifierFichier(TableauReportingFEI[[#This Row],[Extraction KLS]])</f>
        <v>Non</v>
      </c>
      <c r="I29" s="31"/>
    </row>
    <row r="30" spans="2:9" x14ac:dyDescent="0.25">
      <c r="B30" t="s">
        <v>588</v>
      </c>
      <c r="C30" s="26" t="s">
        <v>651</v>
      </c>
      <c r="D30" s="27" t="s">
        <v>637</v>
      </c>
      <c r="E30" s="28" t="str">
        <f t="shared" si="1"/>
        <v>C:\Users\MJ811HP\Desktop\303\BASE\FEI\NORMANDIE</v>
      </c>
      <c r="F30" s="28" t="str" cm="1">
        <f t="array" ref="F30">lastFile(E30)</f>
        <v>20260430_143411_NORMANDIE_Q1-2026 V1.xlsx</v>
      </c>
      <c r="G30" s="32" t="str">
        <f t="shared" si="0"/>
        <v>N:\Projets01\ROBOTISATION_BO\303 - Reporting FEI\SOURCE\KLS\2026.04\MODIFICATION_NORMANDIE_2026.04.xlsx</v>
      </c>
      <c r="H30" s="30" t="str" cm="1">
        <f t="array" ref="H30">VerifierFichier(TableauReportingFEI[[#This Row],[Extraction KLS]])</f>
        <v>Non</v>
      </c>
      <c r="I30" s="31"/>
    </row>
    <row r="31" spans="2:9" x14ac:dyDescent="0.25">
      <c r="B31" t="s">
        <v>598</v>
      </c>
      <c r="C31" s="33" t="s">
        <v>652</v>
      </c>
      <c r="D31" s="34" t="s">
        <v>637</v>
      </c>
      <c r="E31" s="28" t="str">
        <f t="shared" si="1"/>
        <v>C:\Users\MJ811HP\Desktop\303\BASE\FEI\INAF_2025</v>
      </c>
      <c r="F31" s="35" t="str" cm="1">
        <f t="array" ref="F31">lastFile(E31)</f>
        <v>20260422_153222_INAF_2025.xlsx</v>
      </c>
      <c r="G31" s="36" t="str">
        <f t="shared" si="0"/>
        <v>N:\Projets01\ROBOTISATION_BO\303 - Reporting FEI\SOURCE\KLS\2026.04\MODIFICATION_INAF_2025_2026.04.xlsx</v>
      </c>
      <c r="H31" s="37" t="str" cm="1">
        <f t="array" ref="H31">VerifierFichier(TableauReportingFEI[[#This Row],[Extraction KLS]])</f>
        <v>Non</v>
      </c>
      <c r="I31" s="31"/>
    </row>
  </sheetData>
  <mergeCells count="6">
    <mergeCell ref="B14:F15"/>
    <mergeCell ref="B1:F2"/>
    <mergeCell ref="C8:F8"/>
    <mergeCell ref="C9:F9"/>
    <mergeCell ref="C10:F10"/>
    <mergeCell ref="C11:F11"/>
  </mergeCells>
  <conditionalFormatting sqref="H18:H31">
    <cfRule type="cellIs" dxfId="12" priority="1" operator="equal">
      <formula>"OK"</formula>
    </cfRule>
    <cfRule type="cellIs" dxfId="11" priority="2" operator="equal">
      <formula>"KO"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21"/>
  <sheetViews>
    <sheetView tabSelected="1" workbookViewId="0">
      <selection activeCell="A5" sqref="A5"/>
    </sheetView>
  </sheetViews>
  <sheetFormatPr baseColWidth="10" defaultColWidth="9.140625" defaultRowHeight="15" x14ac:dyDescent="0.25"/>
  <cols>
    <col min="1" max="1" width="55.85546875" customWidth="1"/>
    <col min="2" max="2" width="74.7109375" customWidth="1"/>
    <col min="3" max="3" width="51.5703125" customWidth="1"/>
  </cols>
  <sheetData>
    <row r="1" spans="1:3" x14ac:dyDescent="0.25">
      <c r="A1" t="s">
        <v>2</v>
      </c>
      <c r="B1" t="s">
        <v>3</v>
      </c>
    </row>
    <row r="2" spans="1:3" x14ac:dyDescent="0.25">
      <c r="A2">
        <v>2026</v>
      </c>
      <c r="B2">
        <v>1</v>
      </c>
    </row>
    <row r="4" spans="1:3" x14ac:dyDescent="0.25">
      <c r="A4" t="s">
        <v>1</v>
      </c>
      <c r="B4" t="s">
        <v>0</v>
      </c>
    </row>
    <row r="5" spans="1:3" x14ac:dyDescent="0.25">
      <c r="A5" s="1">
        <f>DATE(A2,(B2-1)*3+1,1)</f>
        <v>46023</v>
      </c>
      <c r="B5" s="1">
        <f>DATE(A2,B2*3+1,0)</f>
        <v>46112</v>
      </c>
    </row>
    <row r="8" spans="1:3" x14ac:dyDescent="0.25">
      <c r="A8" t="s">
        <v>622</v>
      </c>
      <c r="B8" t="str">
        <f>"C:\Users\MJ811HP\Desktop\303\BASE\FEI\"</f>
        <v>C:\Users\MJ811HP\Desktop\303\BASE\FEI\</v>
      </c>
    </row>
    <row r="10" spans="1:3" ht="45" x14ac:dyDescent="0.25">
      <c r="A10" s="5" t="s">
        <v>24</v>
      </c>
      <c r="B10" s="5" t="s">
        <v>23</v>
      </c>
    </row>
    <row r="13" spans="1:3" x14ac:dyDescent="0.25">
      <c r="A13" t="s">
        <v>623</v>
      </c>
      <c r="B13" t="s">
        <v>624</v>
      </c>
      <c r="C13" t="s">
        <v>625</v>
      </c>
    </row>
    <row r="14" spans="1:3" x14ac:dyDescent="0.25">
      <c r="A14" t="s">
        <v>31</v>
      </c>
      <c r="B14" t="str">
        <f>$B$8&amp;A14</f>
        <v>C:\Users\MJ811HP\Desktop\303\BASE\FEI\ALTERNA</v>
      </c>
      <c r="C14" t="str" cm="1">
        <f t="array" ref="C14">lastFile(B14)</f>
        <v>20260417_141337_ALTERNA_Q1-2026.xlsx</v>
      </c>
    </row>
    <row r="15" spans="1:3" x14ac:dyDescent="0.25">
      <c r="A15" t="s">
        <v>565</v>
      </c>
      <c r="B15" t="str">
        <f t="shared" ref="B15:B21" si="0">$B$8&amp;A15</f>
        <v>C:\Users\MJ811HP\Desktop\303\BASE\FEI\AURA</v>
      </c>
      <c r="C15" t="str" cm="1">
        <f t="array" ref="C15">lastFile(B15)</f>
        <v>20260422_154954_AURA_Q1-2026_Dossier travail.xlsx</v>
      </c>
    </row>
    <row r="16" spans="1:3" x14ac:dyDescent="0.25">
      <c r="A16" t="s">
        <v>290</v>
      </c>
      <c r="B16" t="str">
        <f t="shared" si="0"/>
        <v>C:\Users\MJ811HP\Desktop\303\BASE\FEI\EGF CAPEE</v>
      </c>
      <c r="C16" t="str" cm="1">
        <f t="array" ref="C16">lastFile(B16)</f>
        <v>20260417_135221_EGF CAPEE_Q1-2026_Dossier travail.xlsx</v>
      </c>
    </row>
    <row r="17" spans="1:3" x14ac:dyDescent="0.25">
      <c r="A17" t="s">
        <v>375</v>
      </c>
      <c r="B17" t="str">
        <f t="shared" si="0"/>
        <v>C:\Users\MJ811HP\Desktop\303\BASE\FEI\EGF NON CAPEE</v>
      </c>
      <c r="C17" t="str" cm="1">
        <f t="array" ref="C17">lastFile(B17)</f>
        <v>20260417_180354_EGF NON CAPEE_Q1-2026-Dossier travail.xlsx</v>
      </c>
    </row>
    <row r="18" spans="1:3" x14ac:dyDescent="0.25">
      <c r="A18" t="s">
        <v>267</v>
      </c>
      <c r="B18" t="str">
        <f t="shared" si="0"/>
        <v>C:\Users\MJ811HP\Desktop\303\BASE\FEI\FOSTER</v>
      </c>
      <c r="C18" t="str" cm="1">
        <f t="array" ref="C18">lastFile(B18)</f>
        <v>20260417_093602_FOSTER_Q1-2026_Dossier travail.xlsx</v>
      </c>
    </row>
    <row r="19" spans="1:3" x14ac:dyDescent="0.25">
      <c r="A19" t="s">
        <v>538</v>
      </c>
      <c r="B19" t="str">
        <f t="shared" si="0"/>
        <v>C:\Users\MJ811HP\Desktop\303\BASE\FEI\FOSTER2 AGRI</v>
      </c>
      <c r="C19" t="str" cm="1">
        <f t="array" ref="C19">lastFile(B19)</f>
        <v>20260427_172748_FOSTER2 AGRI_Q1-2026.xlsx</v>
      </c>
    </row>
    <row r="20" spans="1:3" x14ac:dyDescent="0.25">
      <c r="A20" t="s">
        <v>509</v>
      </c>
      <c r="B20" t="str">
        <f t="shared" si="0"/>
        <v>C:\Users\MJ811HP\Desktop\303\BASE\FEI\FOSTER2 PRO</v>
      </c>
      <c r="C20" t="str" cm="1">
        <f t="array" ref="C20">lastFile(B20)</f>
        <v>20260424_173746_FOSTER2 PRO_Q1-2026_Dossier travail.xlsx</v>
      </c>
    </row>
    <row r="21" spans="1:3" x14ac:dyDescent="0.25">
      <c r="A21" t="s">
        <v>588</v>
      </c>
      <c r="B21" t="str">
        <f t="shared" si="0"/>
        <v>C:\Users\MJ811HP\Desktop\303\BASE\FEI\NORMANDIE</v>
      </c>
      <c r="C21" t="str" cm="1">
        <f t="array" ref="C21">lastFile(B21)</f>
        <v>20260430_143411_NORMANDIE_Q1-2026 V1.xlsx</v>
      </c>
    </row>
  </sheetData>
  <pageMargins left="0.7" right="0.7" top="0.75" bottom="0.75" header="0.3" footer="0.3"/>
  <headerFooter>
    <oddFooter>&amp;C_x000D_&amp;1#&amp;"Aptos"&amp;10&amp;K000000 Usage Interne / Internal Use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J_TableF_DepuisReporting">
                <anchor moveWithCells="1" sizeWithCells="1">
                  <from>
                    <xdr:col>4</xdr:col>
                    <xdr:colOff>171450</xdr:colOff>
                    <xdr:row>2</xdr:row>
                    <xdr:rowOff>38100</xdr:rowOff>
                  </from>
                  <to>
                    <xdr:col>6</xdr:col>
                    <xdr:colOff>485775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E712A-A34C-4F7C-8F35-4BCECAF79068}">
  <sheetPr codeName="Feuil2"/>
  <dimension ref="A1:B8"/>
  <sheetViews>
    <sheetView workbookViewId="0">
      <selection activeCell="B1" sqref="B1:B7"/>
    </sheetView>
  </sheetViews>
  <sheetFormatPr baseColWidth="10" defaultRowHeight="15" x14ac:dyDescent="0.25"/>
  <cols>
    <col min="1" max="2" width="72.140625" customWidth="1"/>
  </cols>
  <sheetData>
    <row r="1" spans="1:2" x14ac:dyDescent="0.25">
      <c r="A1" t="s">
        <v>21</v>
      </c>
      <c r="B1" t="s">
        <v>22</v>
      </c>
    </row>
    <row r="2" spans="1:2" ht="15.75" x14ac:dyDescent="0.25">
      <c r="A2" s="3" t="s">
        <v>14</v>
      </c>
      <c r="B2" s="2" t="s">
        <v>6</v>
      </c>
    </row>
    <row r="3" spans="1:2" ht="15.75" x14ac:dyDescent="0.25">
      <c r="A3" s="3" t="s">
        <v>15</v>
      </c>
      <c r="B3" s="2" t="s">
        <v>7</v>
      </c>
    </row>
    <row r="4" spans="1:2" ht="15.75" x14ac:dyDescent="0.25">
      <c r="A4" s="3" t="s">
        <v>16</v>
      </c>
      <c r="B4" s="2" t="s">
        <v>9</v>
      </c>
    </row>
    <row r="5" spans="1:2" ht="15.75" x14ac:dyDescent="0.25">
      <c r="A5" s="3" t="s">
        <v>17</v>
      </c>
      <c r="B5" s="2" t="s">
        <v>8</v>
      </c>
    </row>
    <row r="6" spans="1:2" ht="15.75" x14ac:dyDescent="0.25">
      <c r="A6" s="3" t="s">
        <v>18</v>
      </c>
      <c r="B6" s="2" t="s">
        <v>10</v>
      </c>
    </row>
    <row r="7" spans="1:2" ht="15.75" x14ac:dyDescent="0.25">
      <c r="A7" s="3" t="s">
        <v>19</v>
      </c>
      <c r="B7" s="2" t="s">
        <v>11</v>
      </c>
    </row>
    <row r="8" spans="1:2" ht="15.75" x14ac:dyDescent="0.25">
      <c r="A8" s="4" t="s">
        <v>20</v>
      </c>
      <c r="B8" s="2"/>
    </row>
  </sheetData>
  <pageMargins left="0.7" right="0.7" top="0.75" bottom="0.75" header="0.3" footer="0.3"/>
  <headerFooter>
    <oddFooter>&amp;C_x000D_&amp;1#&amp;"Aptos"&amp;10&amp;K000000 Usage Interne / Internal Use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693DE-CD2B-4C0B-9F72-7E883D4462DD}">
  <sheetPr codeName="Feuil4"/>
  <dimension ref="A1:G853"/>
  <sheetViews>
    <sheetView topLeftCell="A512" workbookViewId="0">
      <selection activeCell="E2" sqref="E2:E853"/>
    </sheetView>
  </sheetViews>
  <sheetFormatPr baseColWidth="10" defaultRowHeight="15" x14ac:dyDescent="0.25"/>
  <cols>
    <col min="1" max="2" width="31.28515625" customWidth="1"/>
    <col min="3" max="3" width="35.140625" customWidth="1"/>
    <col min="4" max="7" width="31.28515625" customWidth="1"/>
  </cols>
  <sheetData>
    <row r="1" spans="1:7" x14ac:dyDescent="0.25">
      <c r="A1" t="s">
        <v>25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663</v>
      </c>
    </row>
    <row r="2" spans="1:7" hidden="1" x14ac:dyDescent="0.25">
      <c r="A2" t="s">
        <v>31</v>
      </c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</row>
    <row r="3" spans="1:7" hidden="1" x14ac:dyDescent="0.25">
      <c r="A3" t="s">
        <v>31</v>
      </c>
      <c r="B3" t="s">
        <v>32</v>
      </c>
      <c r="C3" t="s">
        <v>33</v>
      </c>
      <c r="D3" t="s">
        <v>38</v>
      </c>
      <c r="E3" t="s">
        <v>39</v>
      </c>
      <c r="F3" t="s">
        <v>36</v>
      </c>
      <c r="G3" t="s">
        <v>40</v>
      </c>
    </row>
    <row r="4" spans="1:7" hidden="1" x14ac:dyDescent="0.25">
      <c r="A4" t="s">
        <v>31</v>
      </c>
      <c r="B4" t="s">
        <v>32</v>
      </c>
      <c r="C4" t="s">
        <v>33</v>
      </c>
      <c r="D4" t="s">
        <v>41</v>
      </c>
      <c r="E4" t="s">
        <v>42</v>
      </c>
      <c r="F4" t="s">
        <v>36</v>
      </c>
      <c r="G4" t="s">
        <v>43</v>
      </c>
    </row>
    <row r="5" spans="1:7" hidden="1" x14ac:dyDescent="0.25">
      <c r="A5" t="s">
        <v>31</v>
      </c>
      <c r="B5" t="s">
        <v>32</v>
      </c>
      <c r="C5" t="s">
        <v>33</v>
      </c>
      <c r="D5" t="s">
        <v>44</v>
      </c>
      <c r="E5" t="s">
        <v>45</v>
      </c>
      <c r="F5" t="s">
        <v>36</v>
      </c>
      <c r="G5" t="s">
        <v>46</v>
      </c>
    </row>
    <row r="6" spans="1:7" hidden="1" x14ac:dyDescent="0.25">
      <c r="A6" t="s">
        <v>31</v>
      </c>
      <c r="B6" t="s">
        <v>32</v>
      </c>
      <c r="C6" t="s">
        <v>33</v>
      </c>
      <c r="D6" t="s">
        <v>47</v>
      </c>
      <c r="E6" t="s">
        <v>48</v>
      </c>
      <c r="F6" t="s">
        <v>36</v>
      </c>
      <c r="G6" t="s">
        <v>49</v>
      </c>
    </row>
    <row r="7" spans="1:7" hidden="1" x14ac:dyDescent="0.25">
      <c r="A7" t="s">
        <v>31</v>
      </c>
      <c r="B7" t="s">
        <v>32</v>
      </c>
      <c r="C7" t="s">
        <v>33</v>
      </c>
      <c r="D7" t="s">
        <v>50</v>
      </c>
      <c r="E7" t="s">
        <v>51</v>
      </c>
      <c r="F7" t="s">
        <v>36</v>
      </c>
      <c r="G7" t="s">
        <v>52</v>
      </c>
    </row>
    <row r="8" spans="1:7" hidden="1" x14ac:dyDescent="0.25">
      <c r="A8" t="s">
        <v>31</v>
      </c>
      <c r="B8" t="s">
        <v>32</v>
      </c>
      <c r="C8" t="s">
        <v>33</v>
      </c>
      <c r="D8" t="s">
        <v>53</v>
      </c>
      <c r="E8" t="s">
        <v>54</v>
      </c>
      <c r="F8" t="s">
        <v>36</v>
      </c>
      <c r="G8" t="s">
        <v>55</v>
      </c>
    </row>
    <row r="9" spans="1:7" hidden="1" x14ac:dyDescent="0.25">
      <c r="A9" t="s">
        <v>31</v>
      </c>
      <c r="B9" t="s">
        <v>32</v>
      </c>
      <c r="C9" t="s">
        <v>33</v>
      </c>
      <c r="D9" t="s">
        <v>56</v>
      </c>
      <c r="E9" t="s">
        <v>57</v>
      </c>
      <c r="F9" t="s">
        <v>36</v>
      </c>
      <c r="G9" t="s">
        <v>58</v>
      </c>
    </row>
    <row r="10" spans="1:7" hidden="1" x14ac:dyDescent="0.25">
      <c r="A10" t="s">
        <v>31</v>
      </c>
      <c r="B10" t="s">
        <v>32</v>
      </c>
      <c r="C10" t="s">
        <v>33</v>
      </c>
      <c r="D10" t="s">
        <v>59</v>
      </c>
      <c r="E10" t="s">
        <v>60</v>
      </c>
      <c r="F10" t="s">
        <v>36</v>
      </c>
      <c r="G10" t="s">
        <v>61</v>
      </c>
    </row>
    <row r="11" spans="1:7" hidden="1" x14ac:dyDescent="0.25">
      <c r="A11" t="s">
        <v>31</v>
      </c>
      <c r="B11" t="s">
        <v>32</v>
      </c>
      <c r="C11" t="s">
        <v>33</v>
      </c>
      <c r="D11" t="s">
        <v>62</v>
      </c>
      <c r="E11" t="s">
        <v>63</v>
      </c>
      <c r="F11" t="s">
        <v>36</v>
      </c>
      <c r="G11" t="s">
        <v>64</v>
      </c>
    </row>
    <row r="12" spans="1:7" hidden="1" x14ac:dyDescent="0.25">
      <c r="A12" t="s">
        <v>31</v>
      </c>
      <c r="B12" t="s">
        <v>32</v>
      </c>
      <c r="C12" t="s">
        <v>33</v>
      </c>
      <c r="D12" t="s">
        <v>65</v>
      </c>
      <c r="E12" t="s">
        <v>66</v>
      </c>
      <c r="F12" t="s">
        <v>36</v>
      </c>
      <c r="G12" t="s">
        <v>67</v>
      </c>
    </row>
    <row r="13" spans="1:7" hidden="1" x14ac:dyDescent="0.25">
      <c r="A13" t="s">
        <v>31</v>
      </c>
      <c r="B13" t="s">
        <v>32</v>
      </c>
      <c r="C13" t="s">
        <v>33</v>
      </c>
      <c r="D13" t="s">
        <v>68</v>
      </c>
      <c r="E13" t="s">
        <v>69</v>
      </c>
      <c r="F13" t="s">
        <v>36</v>
      </c>
      <c r="G13" t="s">
        <v>70</v>
      </c>
    </row>
    <row r="14" spans="1:7" hidden="1" x14ac:dyDescent="0.25">
      <c r="A14" t="s">
        <v>31</v>
      </c>
      <c r="B14" t="s">
        <v>32</v>
      </c>
      <c r="C14" t="s">
        <v>33</v>
      </c>
      <c r="D14" t="s">
        <v>71</v>
      </c>
      <c r="E14" t="s">
        <v>72</v>
      </c>
      <c r="F14" t="s">
        <v>36</v>
      </c>
      <c r="G14" t="s">
        <v>73</v>
      </c>
    </row>
    <row r="15" spans="1:7" hidden="1" x14ac:dyDescent="0.25">
      <c r="A15" t="s">
        <v>31</v>
      </c>
      <c r="B15" t="s">
        <v>32</v>
      </c>
      <c r="C15" t="s">
        <v>33</v>
      </c>
      <c r="D15" t="s">
        <v>74</v>
      </c>
      <c r="E15" t="s">
        <v>75</v>
      </c>
      <c r="F15" t="s">
        <v>36</v>
      </c>
      <c r="G15" t="s">
        <v>76</v>
      </c>
    </row>
    <row r="16" spans="1:7" hidden="1" x14ac:dyDescent="0.25">
      <c r="A16" t="s">
        <v>31</v>
      </c>
      <c r="B16" t="s">
        <v>32</v>
      </c>
      <c r="C16" t="s">
        <v>33</v>
      </c>
      <c r="D16" t="s">
        <v>77</v>
      </c>
      <c r="E16" t="s">
        <v>78</v>
      </c>
      <c r="F16" t="s">
        <v>79</v>
      </c>
      <c r="G16" t="s">
        <v>80</v>
      </c>
    </row>
    <row r="17" spans="1:7" hidden="1" x14ac:dyDescent="0.25">
      <c r="A17" t="s">
        <v>31</v>
      </c>
      <c r="B17" t="s">
        <v>32</v>
      </c>
      <c r="C17" t="s">
        <v>33</v>
      </c>
      <c r="D17" t="s">
        <v>81</v>
      </c>
      <c r="E17" t="s">
        <v>82</v>
      </c>
      <c r="F17" t="s">
        <v>36</v>
      </c>
      <c r="G17" t="s">
        <v>83</v>
      </c>
    </row>
    <row r="18" spans="1:7" hidden="1" x14ac:dyDescent="0.25">
      <c r="A18" t="s">
        <v>31</v>
      </c>
      <c r="B18" t="s">
        <v>32</v>
      </c>
      <c r="C18" t="s">
        <v>33</v>
      </c>
      <c r="E18" t="s">
        <v>84</v>
      </c>
      <c r="F18" t="s">
        <v>79</v>
      </c>
      <c r="G18" t="s">
        <v>85</v>
      </c>
    </row>
    <row r="19" spans="1:7" hidden="1" x14ac:dyDescent="0.25">
      <c r="A19" t="s">
        <v>31</v>
      </c>
      <c r="B19" t="s">
        <v>32</v>
      </c>
      <c r="C19" t="s">
        <v>86</v>
      </c>
      <c r="D19" t="s">
        <v>87</v>
      </c>
      <c r="E19" t="s">
        <v>35</v>
      </c>
      <c r="F19" t="s">
        <v>36</v>
      </c>
      <c r="G19" t="s">
        <v>37</v>
      </c>
    </row>
    <row r="20" spans="1:7" hidden="1" x14ac:dyDescent="0.25">
      <c r="A20" t="s">
        <v>31</v>
      </c>
      <c r="B20" t="s">
        <v>32</v>
      </c>
      <c r="C20" t="s">
        <v>86</v>
      </c>
      <c r="D20" t="s">
        <v>38</v>
      </c>
      <c r="E20" t="s">
        <v>39</v>
      </c>
      <c r="F20" t="s">
        <v>36</v>
      </c>
      <c r="G20" t="s">
        <v>40</v>
      </c>
    </row>
    <row r="21" spans="1:7" hidden="1" x14ac:dyDescent="0.25">
      <c r="A21" t="s">
        <v>31</v>
      </c>
      <c r="B21" t="s">
        <v>32</v>
      </c>
      <c r="C21" t="s">
        <v>86</v>
      </c>
      <c r="D21" t="s">
        <v>88</v>
      </c>
      <c r="E21" t="s">
        <v>89</v>
      </c>
      <c r="F21" t="s">
        <v>36</v>
      </c>
      <c r="G21" t="s">
        <v>90</v>
      </c>
    </row>
    <row r="22" spans="1:7" hidden="1" x14ac:dyDescent="0.25">
      <c r="A22" t="s">
        <v>31</v>
      </c>
      <c r="B22" t="s">
        <v>32</v>
      </c>
      <c r="C22" t="s">
        <v>86</v>
      </c>
      <c r="D22" t="s">
        <v>91</v>
      </c>
      <c r="E22" t="s">
        <v>92</v>
      </c>
      <c r="F22" t="s">
        <v>36</v>
      </c>
      <c r="G22" t="s">
        <v>93</v>
      </c>
    </row>
    <row r="23" spans="1:7" hidden="1" x14ac:dyDescent="0.25">
      <c r="A23" t="s">
        <v>31</v>
      </c>
      <c r="B23" t="s">
        <v>32</v>
      </c>
      <c r="C23" t="s">
        <v>86</v>
      </c>
      <c r="D23" t="s">
        <v>94</v>
      </c>
      <c r="E23" t="s">
        <v>95</v>
      </c>
      <c r="F23" t="s">
        <v>36</v>
      </c>
      <c r="G23" t="s">
        <v>96</v>
      </c>
    </row>
    <row r="24" spans="1:7" hidden="1" x14ac:dyDescent="0.25">
      <c r="A24" t="s">
        <v>31</v>
      </c>
      <c r="B24" t="s">
        <v>32</v>
      </c>
      <c r="C24" t="s">
        <v>86</v>
      </c>
      <c r="D24" t="s">
        <v>97</v>
      </c>
      <c r="E24" t="s">
        <v>98</v>
      </c>
      <c r="F24" t="s">
        <v>36</v>
      </c>
      <c r="G24" t="s">
        <v>99</v>
      </c>
    </row>
    <row r="25" spans="1:7" hidden="1" x14ac:dyDescent="0.25">
      <c r="A25" t="s">
        <v>31</v>
      </c>
      <c r="B25" t="s">
        <v>32</v>
      </c>
      <c r="C25" t="s">
        <v>86</v>
      </c>
      <c r="D25" t="s">
        <v>100</v>
      </c>
      <c r="E25" t="s">
        <v>101</v>
      </c>
      <c r="F25" t="s">
        <v>36</v>
      </c>
      <c r="G25" t="s">
        <v>64</v>
      </c>
    </row>
    <row r="26" spans="1:7" hidden="1" x14ac:dyDescent="0.25">
      <c r="A26" t="s">
        <v>31</v>
      </c>
      <c r="B26" t="s">
        <v>32</v>
      </c>
      <c r="C26" t="s">
        <v>86</v>
      </c>
      <c r="D26" t="s">
        <v>102</v>
      </c>
      <c r="E26" t="s">
        <v>103</v>
      </c>
      <c r="F26" t="s">
        <v>36</v>
      </c>
      <c r="G26" t="s">
        <v>104</v>
      </c>
    </row>
    <row r="27" spans="1:7" hidden="1" x14ac:dyDescent="0.25">
      <c r="A27" t="s">
        <v>31</v>
      </c>
      <c r="B27" t="s">
        <v>32</v>
      </c>
      <c r="C27" t="s">
        <v>86</v>
      </c>
      <c r="D27" t="s">
        <v>105</v>
      </c>
      <c r="E27" t="s">
        <v>106</v>
      </c>
      <c r="F27" t="s">
        <v>107</v>
      </c>
      <c r="G27" t="s">
        <v>108</v>
      </c>
    </row>
    <row r="28" spans="1:7" hidden="1" x14ac:dyDescent="0.25">
      <c r="A28" t="s">
        <v>31</v>
      </c>
      <c r="B28" t="s">
        <v>32</v>
      </c>
      <c r="C28" t="s">
        <v>86</v>
      </c>
      <c r="D28" t="s">
        <v>109</v>
      </c>
      <c r="E28" t="s">
        <v>110</v>
      </c>
      <c r="F28" t="s">
        <v>36</v>
      </c>
      <c r="G28" t="s">
        <v>111</v>
      </c>
    </row>
    <row r="29" spans="1:7" hidden="1" x14ac:dyDescent="0.25">
      <c r="A29" t="s">
        <v>31</v>
      </c>
      <c r="B29" t="s">
        <v>32</v>
      </c>
      <c r="C29" t="s">
        <v>86</v>
      </c>
      <c r="D29" t="s">
        <v>112</v>
      </c>
      <c r="E29" t="s">
        <v>113</v>
      </c>
      <c r="F29" t="s">
        <v>36</v>
      </c>
      <c r="G29" t="s">
        <v>114</v>
      </c>
    </row>
    <row r="30" spans="1:7" hidden="1" x14ac:dyDescent="0.25">
      <c r="A30" t="s">
        <v>31</v>
      </c>
      <c r="B30" t="s">
        <v>32</v>
      </c>
      <c r="C30" t="s">
        <v>86</v>
      </c>
      <c r="D30" t="s">
        <v>115</v>
      </c>
      <c r="E30" t="s">
        <v>116</v>
      </c>
      <c r="F30" t="s">
        <v>36</v>
      </c>
      <c r="G30" t="s">
        <v>117</v>
      </c>
    </row>
    <row r="31" spans="1:7" hidden="1" x14ac:dyDescent="0.25">
      <c r="A31" t="s">
        <v>31</v>
      </c>
      <c r="B31" t="s">
        <v>32</v>
      </c>
      <c r="C31" t="s">
        <v>86</v>
      </c>
      <c r="D31" t="s">
        <v>118</v>
      </c>
      <c r="E31" t="s">
        <v>119</v>
      </c>
      <c r="F31" t="s">
        <v>36</v>
      </c>
      <c r="G31" t="s">
        <v>120</v>
      </c>
    </row>
    <row r="32" spans="1:7" hidden="1" x14ac:dyDescent="0.25">
      <c r="A32" t="s">
        <v>31</v>
      </c>
      <c r="B32" t="s">
        <v>32</v>
      </c>
      <c r="C32" t="s">
        <v>86</v>
      </c>
      <c r="D32" t="s">
        <v>121</v>
      </c>
      <c r="E32" t="s">
        <v>122</v>
      </c>
      <c r="F32" t="s">
        <v>36</v>
      </c>
      <c r="G32" t="s">
        <v>123</v>
      </c>
    </row>
    <row r="33" spans="1:7" hidden="1" x14ac:dyDescent="0.25">
      <c r="A33" t="s">
        <v>31</v>
      </c>
      <c r="B33" t="s">
        <v>32</v>
      </c>
      <c r="C33" t="s">
        <v>86</v>
      </c>
      <c r="D33" t="s">
        <v>124</v>
      </c>
      <c r="E33" t="s">
        <v>18</v>
      </c>
      <c r="F33" t="s">
        <v>36</v>
      </c>
      <c r="G33" t="s">
        <v>125</v>
      </c>
    </row>
    <row r="34" spans="1:7" hidden="1" x14ac:dyDescent="0.25">
      <c r="A34" t="s">
        <v>31</v>
      </c>
      <c r="B34" t="s">
        <v>32</v>
      </c>
      <c r="C34" t="s">
        <v>86</v>
      </c>
      <c r="D34" t="s">
        <v>126</v>
      </c>
      <c r="E34" t="s">
        <v>127</v>
      </c>
      <c r="F34" t="s">
        <v>36</v>
      </c>
      <c r="G34" t="s">
        <v>128</v>
      </c>
    </row>
    <row r="35" spans="1:7" hidden="1" x14ac:dyDescent="0.25">
      <c r="A35" t="s">
        <v>31</v>
      </c>
      <c r="B35" t="s">
        <v>32</v>
      </c>
      <c r="C35" t="s">
        <v>86</v>
      </c>
      <c r="D35" t="s">
        <v>129</v>
      </c>
      <c r="E35" t="s">
        <v>130</v>
      </c>
      <c r="F35" t="s">
        <v>36</v>
      </c>
      <c r="G35" t="s">
        <v>55</v>
      </c>
    </row>
    <row r="36" spans="1:7" hidden="1" x14ac:dyDescent="0.25">
      <c r="A36" t="s">
        <v>31</v>
      </c>
      <c r="B36" t="s">
        <v>32</v>
      </c>
      <c r="C36" t="s">
        <v>86</v>
      </c>
      <c r="D36" t="s">
        <v>131</v>
      </c>
      <c r="E36" t="s">
        <v>132</v>
      </c>
      <c r="F36" t="s">
        <v>36</v>
      </c>
      <c r="G36" t="s">
        <v>133</v>
      </c>
    </row>
    <row r="37" spans="1:7" hidden="1" x14ac:dyDescent="0.25">
      <c r="A37" t="s">
        <v>31</v>
      </c>
      <c r="B37" t="s">
        <v>32</v>
      </c>
      <c r="C37" t="s">
        <v>86</v>
      </c>
      <c r="D37" t="s">
        <v>134</v>
      </c>
      <c r="E37" t="s">
        <v>135</v>
      </c>
      <c r="F37" t="s">
        <v>36</v>
      </c>
      <c r="G37" t="s">
        <v>85</v>
      </c>
    </row>
    <row r="38" spans="1:7" hidden="1" x14ac:dyDescent="0.25">
      <c r="A38" t="s">
        <v>31</v>
      </c>
      <c r="B38" t="s">
        <v>32</v>
      </c>
      <c r="C38" t="s">
        <v>86</v>
      </c>
      <c r="D38" t="s">
        <v>136</v>
      </c>
      <c r="E38" t="s">
        <v>137</v>
      </c>
      <c r="F38" t="s">
        <v>36</v>
      </c>
      <c r="G38" t="s">
        <v>138</v>
      </c>
    </row>
    <row r="39" spans="1:7" hidden="1" x14ac:dyDescent="0.25">
      <c r="A39" t="s">
        <v>31</v>
      </c>
      <c r="B39" t="s">
        <v>32</v>
      </c>
      <c r="C39" t="s">
        <v>86</v>
      </c>
      <c r="D39" t="s">
        <v>139</v>
      </c>
      <c r="E39" t="s">
        <v>140</v>
      </c>
      <c r="F39" t="s">
        <v>36</v>
      </c>
      <c r="G39" t="s">
        <v>141</v>
      </c>
    </row>
    <row r="40" spans="1:7" hidden="1" x14ac:dyDescent="0.25">
      <c r="A40" t="s">
        <v>31</v>
      </c>
      <c r="B40" t="s">
        <v>32</v>
      </c>
      <c r="C40" t="s">
        <v>86</v>
      </c>
      <c r="E40" t="s">
        <v>84</v>
      </c>
      <c r="F40" t="s">
        <v>79</v>
      </c>
      <c r="G40" t="s">
        <v>85</v>
      </c>
    </row>
    <row r="41" spans="1:7" hidden="1" x14ac:dyDescent="0.25">
      <c r="A41" t="s">
        <v>31</v>
      </c>
      <c r="B41" t="s">
        <v>32</v>
      </c>
      <c r="C41" t="s">
        <v>142</v>
      </c>
      <c r="D41" t="s">
        <v>34</v>
      </c>
      <c r="E41" t="s">
        <v>35</v>
      </c>
      <c r="F41" t="s">
        <v>36</v>
      </c>
      <c r="G41" t="s">
        <v>37</v>
      </c>
    </row>
    <row r="42" spans="1:7" hidden="1" x14ac:dyDescent="0.25">
      <c r="A42" t="s">
        <v>31</v>
      </c>
      <c r="B42" t="s">
        <v>32</v>
      </c>
      <c r="C42" t="s">
        <v>142</v>
      </c>
      <c r="D42" t="s">
        <v>38</v>
      </c>
      <c r="E42" t="s">
        <v>39</v>
      </c>
      <c r="F42" t="s">
        <v>36</v>
      </c>
      <c r="G42" t="s">
        <v>40</v>
      </c>
    </row>
    <row r="43" spans="1:7" hidden="1" x14ac:dyDescent="0.25">
      <c r="A43" t="s">
        <v>31</v>
      </c>
      <c r="B43" t="s">
        <v>32</v>
      </c>
      <c r="C43" t="s">
        <v>142</v>
      </c>
      <c r="D43" t="s">
        <v>88</v>
      </c>
      <c r="E43" t="s">
        <v>89</v>
      </c>
      <c r="F43" t="s">
        <v>36</v>
      </c>
      <c r="G43" t="s">
        <v>90</v>
      </c>
    </row>
    <row r="44" spans="1:7" hidden="1" x14ac:dyDescent="0.25">
      <c r="A44" t="s">
        <v>31</v>
      </c>
      <c r="B44" t="s">
        <v>32</v>
      </c>
      <c r="C44" t="s">
        <v>142</v>
      </c>
      <c r="D44" t="s">
        <v>143</v>
      </c>
      <c r="E44" t="s">
        <v>144</v>
      </c>
      <c r="F44" t="s">
        <v>36</v>
      </c>
      <c r="G44" t="s">
        <v>145</v>
      </c>
    </row>
    <row r="45" spans="1:7" hidden="1" x14ac:dyDescent="0.25">
      <c r="A45" t="s">
        <v>31</v>
      </c>
      <c r="B45" t="s">
        <v>32</v>
      </c>
      <c r="C45" t="s">
        <v>142</v>
      </c>
      <c r="D45" t="s">
        <v>146</v>
      </c>
      <c r="E45" t="s">
        <v>147</v>
      </c>
      <c r="F45" t="s">
        <v>36</v>
      </c>
      <c r="G45" t="s">
        <v>148</v>
      </c>
    </row>
    <row r="46" spans="1:7" hidden="1" x14ac:dyDescent="0.25">
      <c r="A46" t="s">
        <v>31</v>
      </c>
      <c r="B46" t="s">
        <v>32</v>
      </c>
      <c r="C46" t="s">
        <v>142</v>
      </c>
      <c r="D46" t="s">
        <v>149</v>
      </c>
      <c r="E46" t="s">
        <v>150</v>
      </c>
      <c r="F46" t="s">
        <v>36</v>
      </c>
      <c r="G46" t="s">
        <v>151</v>
      </c>
    </row>
    <row r="47" spans="1:7" hidden="1" x14ac:dyDescent="0.25">
      <c r="A47" t="s">
        <v>31</v>
      </c>
      <c r="B47" t="s">
        <v>32</v>
      </c>
      <c r="C47" t="s">
        <v>142</v>
      </c>
      <c r="D47" t="s">
        <v>152</v>
      </c>
      <c r="E47" t="s">
        <v>153</v>
      </c>
      <c r="F47" t="s">
        <v>36</v>
      </c>
      <c r="G47" t="s">
        <v>154</v>
      </c>
    </row>
    <row r="48" spans="1:7" hidden="1" x14ac:dyDescent="0.25">
      <c r="A48" t="s">
        <v>31</v>
      </c>
      <c r="B48" t="s">
        <v>32</v>
      </c>
      <c r="C48" t="s">
        <v>142</v>
      </c>
      <c r="D48" t="s">
        <v>155</v>
      </c>
      <c r="E48" t="s">
        <v>156</v>
      </c>
      <c r="F48" t="s">
        <v>36</v>
      </c>
      <c r="G48" t="s">
        <v>157</v>
      </c>
    </row>
    <row r="49" spans="1:7" hidden="1" x14ac:dyDescent="0.25">
      <c r="A49" t="s">
        <v>31</v>
      </c>
      <c r="B49" t="s">
        <v>32</v>
      </c>
      <c r="C49" t="s">
        <v>142</v>
      </c>
      <c r="D49" t="s">
        <v>158</v>
      </c>
      <c r="E49" t="s">
        <v>159</v>
      </c>
      <c r="F49" t="s">
        <v>36</v>
      </c>
      <c r="G49" t="s">
        <v>160</v>
      </c>
    </row>
    <row r="50" spans="1:7" hidden="1" x14ac:dyDescent="0.25">
      <c r="A50" t="s">
        <v>31</v>
      </c>
      <c r="B50" t="s">
        <v>32</v>
      </c>
      <c r="C50" t="s">
        <v>142</v>
      </c>
      <c r="D50" t="s">
        <v>161</v>
      </c>
      <c r="E50" t="s">
        <v>162</v>
      </c>
      <c r="F50" t="s">
        <v>36</v>
      </c>
      <c r="G50" t="s">
        <v>163</v>
      </c>
    </row>
    <row r="51" spans="1:7" hidden="1" x14ac:dyDescent="0.25">
      <c r="A51" t="s">
        <v>31</v>
      </c>
      <c r="B51" t="s">
        <v>32</v>
      </c>
      <c r="C51" t="s">
        <v>164</v>
      </c>
      <c r="D51" t="s">
        <v>87</v>
      </c>
      <c r="E51" t="s">
        <v>165</v>
      </c>
      <c r="F51" t="s">
        <v>36</v>
      </c>
      <c r="G51" t="s">
        <v>37</v>
      </c>
    </row>
    <row r="52" spans="1:7" hidden="1" x14ac:dyDescent="0.25">
      <c r="A52" t="s">
        <v>31</v>
      </c>
      <c r="B52" t="s">
        <v>32</v>
      </c>
      <c r="C52" t="s">
        <v>164</v>
      </c>
      <c r="D52" t="s">
        <v>88</v>
      </c>
      <c r="E52" t="s">
        <v>89</v>
      </c>
      <c r="F52" t="s">
        <v>36</v>
      </c>
      <c r="G52" t="s">
        <v>90</v>
      </c>
    </row>
    <row r="53" spans="1:7" hidden="1" x14ac:dyDescent="0.25">
      <c r="A53" t="s">
        <v>31</v>
      </c>
      <c r="B53" t="s">
        <v>32</v>
      </c>
      <c r="C53" t="s">
        <v>164</v>
      </c>
      <c r="D53" t="s">
        <v>166</v>
      </c>
      <c r="E53" t="s">
        <v>167</v>
      </c>
      <c r="F53" t="s">
        <v>36</v>
      </c>
      <c r="G53" t="s">
        <v>168</v>
      </c>
    </row>
    <row r="54" spans="1:7" hidden="1" x14ac:dyDescent="0.25">
      <c r="A54" t="s">
        <v>31</v>
      </c>
      <c r="B54" t="s">
        <v>32</v>
      </c>
      <c r="C54" t="s">
        <v>169</v>
      </c>
      <c r="D54" t="s">
        <v>87</v>
      </c>
      <c r="E54" t="s">
        <v>35</v>
      </c>
      <c r="F54" t="s">
        <v>36</v>
      </c>
      <c r="G54" t="s">
        <v>37</v>
      </c>
    </row>
    <row r="55" spans="1:7" hidden="1" x14ac:dyDescent="0.25">
      <c r="A55" t="s">
        <v>31</v>
      </c>
      <c r="B55" t="s">
        <v>32</v>
      </c>
      <c r="C55" t="s">
        <v>169</v>
      </c>
      <c r="D55" t="s">
        <v>88</v>
      </c>
      <c r="E55" t="s">
        <v>89</v>
      </c>
      <c r="F55" t="s">
        <v>36</v>
      </c>
      <c r="G55" t="s">
        <v>90</v>
      </c>
    </row>
    <row r="56" spans="1:7" hidden="1" x14ac:dyDescent="0.25">
      <c r="A56" t="s">
        <v>31</v>
      </c>
      <c r="B56" t="s">
        <v>32</v>
      </c>
      <c r="C56" t="s">
        <v>169</v>
      </c>
      <c r="D56" t="s">
        <v>170</v>
      </c>
      <c r="E56" t="s">
        <v>171</v>
      </c>
      <c r="F56" t="s">
        <v>36</v>
      </c>
    </row>
    <row r="57" spans="1:7" hidden="1" x14ac:dyDescent="0.25">
      <c r="A57" t="s">
        <v>31</v>
      </c>
      <c r="B57" t="s">
        <v>32</v>
      </c>
      <c r="C57" t="s">
        <v>169</v>
      </c>
      <c r="D57" t="s">
        <v>172</v>
      </c>
      <c r="E57" t="s">
        <v>173</v>
      </c>
      <c r="F57" t="s">
        <v>36</v>
      </c>
    </row>
    <row r="58" spans="1:7" hidden="1" x14ac:dyDescent="0.25">
      <c r="A58" t="s">
        <v>31</v>
      </c>
      <c r="B58" t="s">
        <v>32</v>
      </c>
      <c r="C58" t="s">
        <v>169</v>
      </c>
      <c r="D58" t="s">
        <v>174</v>
      </c>
      <c r="E58" t="s">
        <v>175</v>
      </c>
      <c r="F58" t="s">
        <v>36</v>
      </c>
    </row>
    <row r="59" spans="1:7" x14ac:dyDescent="0.25">
      <c r="A59" t="s">
        <v>31</v>
      </c>
      <c r="B59" t="s">
        <v>32</v>
      </c>
      <c r="C59" t="s">
        <v>176</v>
      </c>
      <c r="D59" t="s">
        <v>87</v>
      </c>
      <c r="E59" t="s">
        <v>35</v>
      </c>
      <c r="F59" t="s">
        <v>36</v>
      </c>
      <c r="G59" t="s">
        <v>37</v>
      </c>
    </row>
    <row r="60" spans="1:7" x14ac:dyDescent="0.25">
      <c r="A60" t="s">
        <v>31</v>
      </c>
      <c r="B60" t="s">
        <v>32</v>
      </c>
      <c r="C60" t="s">
        <v>176</v>
      </c>
      <c r="D60" t="s">
        <v>38</v>
      </c>
      <c r="E60" t="s">
        <v>39</v>
      </c>
      <c r="F60" t="s">
        <v>36</v>
      </c>
      <c r="G60" t="s">
        <v>40</v>
      </c>
    </row>
    <row r="61" spans="1:7" x14ac:dyDescent="0.25">
      <c r="A61" t="s">
        <v>31</v>
      </c>
      <c r="B61" t="s">
        <v>32</v>
      </c>
      <c r="C61" t="s">
        <v>176</v>
      </c>
      <c r="D61" t="s">
        <v>88</v>
      </c>
      <c r="E61" t="s">
        <v>89</v>
      </c>
      <c r="F61" t="s">
        <v>36</v>
      </c>
      <c r="G61" t="s">
        <v>90</v>
      </c>
    </row>
    <row r="62" spans="1:7" x14ac:dyDescent="0.25">
      <c r="A62" t="s">
        <v>31</v>
      </c>
      <c r="B62" t="s">
        <v>32</v>
      </c>
      <c r="C62" t="s">
        <v>176</v>
      </c>
      <c r="D62" t="s">
        <v>87</v>
      </c>
      <c r="E62" t="s">
        <v>14</v>
      </c>
      <c r="F62" t="s">
        <v>36</v>
      </c>
      <c r="G62" t="s">
        <v>177</v>
      </c>
    </row>
    <row r="63" spans="1:7" x14ac:dyDescent="0.25">
      <c r="A63" t="s">
        <v>31</v>
      </c>
      <c r="B63" t="s">
        <v>32</v>
      </c>
      <c r="C63" t="s">
        <v>176</v>
      </c>
      <c r="D63" t="s">
        <v>88</v>
      </c>
      <c r="E63" t="s">
        <v>15</v>
      </c>
      <c r="F63" t="s">
        <v>36</v>
      </c>
      <c r="G63" t="s">
        <v>178</v>
      </c>
    </row>
    <row r="64" spans="1:7" x14ac:dyDescent="0.25">
      <c r="A64" t="s">
        <v>31</v>
      </c>
      <c r="B64" t="s">
        <v>32</v>
      </c>
      <c r="C64" t="s">
        <v>176</v>
      </c>
      <c r="D64" t="s">
        <v>56</v>
      </c>
      <c r="E64" t="s">
        <v>57</v>
      </c>
      <c r="F64" t="s">
        <v>36</v>
      </c>
    </row>
    <row r="65" spans="1:7" x14ac:dyDescent="0.25">
      <c r="A65" t="s">
        <v>31</v>
      </c>
      <c r="B65" t="s">
        <v>32</v>
      </c>
      <c r="C65" t="s">
        <v>176</v>
      </c>
      <c r="D65" t="s">
        <v>109</v>
      </c>
      <c r="E65" t="s">
        <v>16</v>
      </c>
      <c r="F65" t="s">
        <v>36</v>
      </c>
    </row>
    <row r="66" spans="1:7" x14ac:dyDescent="0.25">
      <c r="A66" t="s">
        <v>31</v>
      </c>
      <c r="B66" t="s">
        <v>32</v>
      </c>
      <c r="C66" t="s">
        <v>176</v>
      </c>
      <c r="D66" t="s">
        <v>115</v>
      </c>
      <c r="E66" t="s">
        <v>179</v>
      </c>
      <c r="F66" t="s">
        <v>36</v>
      </c>
      <c r="G66" t="s">
        <v>180</v>
      </c>
    </row>
    <row r="67" spans="1:7" x14ac:dyDescent="0.25">
      <c r="A67" t="s">
        <v>31</v>
      </c>
      <c r="B67" t="s">
        <v>32</v>
      </c>
      <c r="C67" t="s">
        <v>176</v>
      </c>
      <c r="D67" t="s">
        <v>121</v>
      </c>
      <c r="E67" t="s">
        <v>181</v>
      </c>
      <c r="F67" t="s">
        <v>36</v>
      </c>
    </row>
    <row r="68" spans="1:7" x14ac:dyDescent="0.25">
      <c r="A68" t="s">
        <v>31</v>
      </c>
      <c r="B68" t="s">
        <v>32</v>
      </c>
      <c r="C68" t="s">
        <v>176</v>
      </c>
      <c r="D68" t="s">
        <v>124</v>
      </c>
      <c r="E68" t="s">
        <v>18</v>
      </c>
      <c r="F68" t="s">
        <v>36</v>
      </c>
      <c r="G68" t="s">
        <v>182</v>
      </c>
    </row>
    <row r="69" spans="1:7" x14ac:dyDescent="0.25">
      <c r="A69" t="s">
        <v>31</v>
      </c>
      <c r="B69" t="s">
        <v>32</v>
      </c>
      <c r="C69" t="s">
        <v>176</v>
      </c>
      <c r="D69" t="s">
        <v>126</v>
      </c>
      <c r="E69" t="s">
        <v>127</v>
      </c>
      <c r="F69" t="s">
        <v>36</v>
      </c>
      <c r="G69" t="s">
        <v>183</v>
      </c>
    </row>
    <row r="70" spans="1:7" x14ac:dyDescent="0.25">
      <c r="A70" t="s">
        <v>31</v>
      </c>
      <c r="B70" t="s">
        <v>32</v>
      </c>
      <c r="C70" t="s">
        <v>176</v>
      </c>
      <c r="E70" t="s">
        <v>184</v>
      </c>
      <c r="F70" t="s">
        <v>36</v>
      </c>
    </row>
    <row r="71" spans="1:7" hidden="1" x14ac:dyDescent="0.25">
      <c r="A71" t="s">
        <v>31</v>
      </c>
      <c r="B71" t="s">
        <v>32</v>
      </c>
      <c r="C71" t="s">
        <v>185</v>
      </c>
      <c r="D71" t="s">
        <v>186</v>
      </c>
      <c r="E71" t="s">
        <v>35</v>
      </c>
      <c r="F71" t="s">
        <v>36</v>
      </c>
    </row>
    <row r="72" spans="1:7" hidden="1" x14ac:dyDescent="0.25">
      <c r="A72" t="s">
        <v>31</v>
      </c>
      <c r="B72" t="s">
        <v>32</v>
      </c>
      <c r="C72" t="s">
        <v>185</v>
      </c>
      <c r="D72" t="s">
        <v>187</v>
      </c>
      <c r="E72" t="s">
        <v>89</v>
      </c>
      <c r="F72" t="s">
        <v>36</v>
      </c>
    </row>
    <row r="73" spans="1:7" hidden="1" x14ac:dyDescent="0.25">
      <c r="A73" t="s">
        <v>31</v>
      </c>
      <c r="B73" t="s">
        <v>32</v>
      </c>
      <c r="C73" t="s">
        <v>185</v>
      </c>
      <c r="D73" t="s">
        <v>188</v>
      </c>
      <c r="E73" t="s">
        <v>189</v>
      </c>
      <c r="F73" t="s">
        <v>36</v>
      </c>
    </row>
    <row r="74" spans="1:7" hidden="1" x14ac:dyDescent="0.25">
      <c r="A74" t="s">
        <v>31</v>
      </c>
      <c r="B74" t="s">
        <v>32</v>
      </c>
      <c r="C74" t="s">
        <v>185</v>
      </c>
      <c r="D74" t="s">
        <v>190</v>
      </c>
      <c r="E74" t="s">
        <v>191</v>
      </c>
      <c r="F74" t="s">
        <v>36</v>
      </c>
    </row>
    <row r="75" spans="1:7" hidden="1" x14ac:dyDescent="0.25">
      <c r="A75" t="s">
        <v>31</v>
      </c>
      <c r="B75" t="s">
        <v>32</v>
      </c>
      <c r="C75" t="s">
        <v>185</v>
      </c>
      <c r="D75" t="s">
        <v>192</v>
      </c>
      <c r="E75" t="s">
        <v>173</v>
      </c>
      <c r="F75" t="s">
        <v>36</v>
      </c>
    </row>
    <row r="76" spans="1:7" hidden="1" x14ac:dyDescent="0.25">
      <c r="A76" t="s">
        <v>31</v>
      </c>
      <c r="B76" t="s">
        <v>32</v>
      </c>
      <c r="C76" t="s">
        <v>185</v>
      </c>
      <c r="D76" t="s">
        <v>193</v>
      </c>
      <c r="E76" t="s">
        <v>194</v>
      </c>
      <c r="F76" t="s">
        <v>36</v>
      </c>
    </row>
    <row r="77" spans="1:7" hidden="1" x14ac:dyDescent="0.25">
      <c r="A77" t="s">
        <v>31</v>
      </c>
      <c r="B77" t="s">
        <v>32</v>
      </c>
      <c r="C77" t="s">
        <v>185</v>
      </c>
      <c r="D77" t="s">
        <v>195</v>
      </c>
      <c r="E77" t="s">
        <v>196</v>
      </c>
      <c r="F77" t="s">
        <v>36</v>
      </c>
    </row>
    <row r="78" spans="1:7" hidden="1" x14ac:dyDescent="0.25">
      <c r="A78" t="s">
        <v>31</v>
      </c>
      <c r="B78" t="s">
        <v>32</v>
      </c>
      <c r="C78" t="s">
        <v>185</v>
      </c>
      <c r="D78" t="s">
        <v>197</v>
      </c>
      <c r="E78" t="s">
        <v>198</v>
      </c>
      <c r="F78" t="s">
        <v>36</v>
      </c>
    </row>
    <row r="79" spans="1:7" hidden="1" x14ac:dyDescent="0.25">
      <c r="A79" t="s">
        <v>199</v>
      </c>
      <c r="B79" t="s">
        <v>200</v>
      </c>
      <c r="C79" t="s">
        <v>201</v>
      </c>
      <c r="D79" t="s">
        <v>186</v>
      </c>
      <c r="E79" t="s">
        <v>35</v>
      </c>
      <c r="F79" t="s">
        <v>36</v>
      </c>
      <c r="G79" t="s">
        <v>37</v>
      </c>
    </row>
    <row r="80" spans="1:7" hidden="1" x14ac:dyDescent="0.25">
      <c r="A80" t="s">
        <v>199</v>
      </c>
      <c r="B80" t="s">
        <v>200</v>
      </c>
      <c r="C80" t="s">
        <v>201</v>
      </c>
      <c r="D80" t="s">
        <v>202</v>
      </c>
      <c r="E80" t="s">
        <v>39</v>
      </c>
      <c r="F80" t="s">
        <v>36</v>
      </c>
      <c r="G80" t="s">
        <v>40</v>
      </c>
    </row>
    <row r="81" spans="1:7" hidden="1" x14ac:dyDescent="0.25">
      <c r="A81" t="s">
        <v>199</v>
      </c>
      <c r="B81" t="s">
        <v>200</v>
      </c>
      <c r="C81" t="s">
        <v>201</v>
      </c>
      <c r="D81" t="s">
        <v>203</v>
      </c>
      <c r="E81" t="s">
        <v>42</v>
      </c>
      <c r="F81" t="s">
        <v>36</v>
      </c>
      <c r="G81" t="s">
        <v>43</v>
      </c>
    </row>
    <row r="82" spans="1:7" hidden="1" x14ac:dyDescent="0.25">
      <c r="A82" t="s">
        <v>199</v>
      </c>
      <c r="B82" t="s">
        <v>200</v>
      </c>
      <c r="C82" t="s">
        <v>201</v>
      </c>
      <c r="D82" t="s">
        <v>204</v>
      </c>
      <c r="E82" t="s">
        <v>45</v>
      </c>
      <c r="F82" t="s">
        <v>36</v>
      </c>
      <c r="G82" t="s">
        <v>46</v>
      </c>
    </row>
    <row r="83" spans="1:7" hidden="1" x14ac:dyDescent="0.25">
      <c r="A83" t="s">
        <v>199</v>
      </c>
      <c r="B83" t="s">
        <v>200</v>
      </c>
      <c r="C83" t="s">
        <v>201</v>
      </c>
      <c r="D83" t="s">
        <v>205</v>
      </c>
      <c r="E83" t="s">
        <v>48</v>
      </c>
      <c r="F83" t="s">
        <v>36</v>
      </c>
      <c r="G83" t="s">
        <v>49</v>
      </c>
    </row>
    <row r="84" spans="1:7" hidden="1" x14ac:dyDescent="0.25">
      <c r="A84" t="s">
        <v>199</v>
      </c>
      <c r="B84" t="s">
        <v>200</v>
      </c>
      <c r="C84" t="s">
        <v>201</v>
      </c>
      <c r="D84" t="s">
        <v>206</v>
      </c>
      <c r="E84" t="s">
        <v>51</v>
      </c>
      <c r="F84" t="s">
        <v>36</v>
      </c>
      <c r="G84" t="s">
        <v>52</v>
      </c>
    </row>
    <row r="85" spans="1:7" hidden="1" x14ac:dyDescent="0.25">
      <c r="A85" t="s">
        <v>199</v>
      </c>
      <c r="B85" t="s">
        <v>200</v>
      </c>
      <c r="C85" t="s">
        <v>201</v>
      </c>
      <c r="D85" t="s">
        <v>207</v>
      </c>
      <c r="E85" t="s">
        <v>54</v>
      </c>
      <c r="F85" t="s">
        <v>36</v>
      </c>
      <c r="G85" t="s">
        <v>55</v>
      </c>
    </row>
    <row r="86" spans="1:7" hidden="1" x14ac:dyDescent="0.25">
      <c r="A86" t="s">
        <v>199</v>
      </c>
      <c r="B86" t="s">
        <v>200</v>
      </c>
      <c r="C86" t="s">
        <v>201</v>
      </c>
      <c r="D86" t="s">
        <v>208</v>
      </c>
      <c r="E86" t="s">
        <v>57</v>
      </c>
      <c r="F86" t="s">
        <v>36</v>
      </c>
      <c r="G86" t="s">
        <v>209</v>
      </c>
    </row>
    <row r="87" spans="1:7" hidden="1" x14ac:dyDescent="0.25">
      <c r="A87" t="s">
        <v>199</v>
      </c>
      <c r="B87" t="s">
        <v>200</v>
      </c>
      <c r="C87" t="s">
        <v>201</v>
      </c>
      <c r="D87" t="s">
        <v>210</v>
      </c>
      <c r="E87" t="s">
        <v>60</v>
      </c>
      <c r="F87" t="s">
        <v>36</v>
      </c>
      <c r="G87" t="s">
        <v>61</v>
      </c>
    </row>
    <row r="88" spans="1:7" hidden="1" x14ac:dyDescent="0.25">
      <c r="A88" t="s">
        <v>199</v>
      </c>
      <c r="B88" t="s">
        <v>200</v>
      </c>
      <c r="C88" t="s">
        <v>201</v>
      </c>
      <c r="D88" t="s">
        <v>211</v>
      </c>
      <c r="E88" t="s">
        <v>63</v>
      </c>
      <c r="F88" t="s">
        <v>36</v>
      </c>
      <c r="G88" t="s">
        <v>64</v>
      </c>
    </row>
    <row r="89" spans="1:7" hidden="1" x14ac:dyDescent="0.25">
      <c r="A89" t="s">
        <v>199</v>
      </c>
      <c r="B89" t="s">
        <v>200</v>
      </c>
      <c r="C89" t="s">
        <v>201</v>
      </c>
      <c r="D89" t="s">
        <v>212</v>
      </c>
      <c r="E89" t="s">
        <v>66</v>
      </c>
      <c r="F89" t="s">
        <v>36</v>
      </c>
      <c r="G89" t="s">
        <v>67</v>
      </c>
    </row>
    <row r="90" spans="1:7" hidden="1" x14ac:dyDescent="0.25">
      <c r="A90" t="s">
        <v>199</v>
      </c>
      <c r="B90" t="s">
        <v>200</v>
      </c>
      <c r="C90" t="s">
        <v>201</v>
      </c>
      <c r="D90" t="s">
        <v>213</v>
      </c>
      <c r="E90" t="s">
        <v>69</v>
      </c>
      <c r="F90" t="s">
        <v>36</v>
      </c>
      <c r="G90" t="s">
        <v>70</v>
      </c>
    </row>
    <row r="91" spans="1:7" hidden="1" x14ac:dyDescent="0.25">
      <c r="A91" t="s">
        <v>199</v>
      </c>
      <c r="B91" t="s">
        <v>200</v>
      </c>
      <c r="C91" t="s">
        <v>201</v>
      </c>
      <c r="D91" t="s">
        <v>214</v>
      </c>
      <c r="E91" t="s">
        <v>72</v>
      </c>
      <c r="F91" t="s">
        <v>36</v>
      </c>
      <c r="G91" t="s">
        <v>73</v>
      </c>
    </row>
    <row r="92" spans="1:7" hidden="1" x14ac:dyDescent="0.25">
      <c r="A92" t="s">
        <v>199</v>
      </c>
      <c r="B92" t="s">
        <v>200</v>
      </c>
      <c r="C92" t="s">
        <v>201</v>
      </c>
      <c r="D92" t="s">
        <v>215</v>
      </c>
      <c r="E92" t="s">
        <v>75</v>
      </c>
      <c r="F92" t="s">
        <v>36</v>
      </c>
      <c r="G92" t="s">
        <v>216</v>
      </c>
    </row>
    <row r="93" spans="1:7" hidden="1" x14ac:dyDescent="0.25">
      <c r="A93" t="s">
        <v>199</v>
      </c>
      <c r="B93" t="s">
        <v>200</v>
      </c>
      <c r="C93" t="s">
        <v>201</v>
      </c>
      <c r="D93" t="s">
        <v>217</v>
      </c>
      <c r="E93" t="s">
        <v>218</v>
      </c>
      <c r="F93" t="s">
        <v>79</v>
      </c>
      <c r="G93" t="s">
        <v>219</v>
      </c>
    </row>
    <row r="94" spans="1:7" hidden="1" x14ac:dyDescent="0.25">
      <c r="A94" t="s">
        <v>199</v>
      </c>
      <c r="B94" t="s">
        <v>200</v>
      </c>
      <c r="C94" t="s">
        <v>201</v>
      </c>
      <c r="D94" t="s">
        <v>220</v>
      </c>
      <c r="E94" t="s">
        <v>82</v>
      </c>
      <c r="F94" t="s">
        <v>36</v>
      </c>
      <c r="G94" t="s">
        <v>221</v>
      </c>
    </row>
    <row r="95" spans="1:7" hidden="1" x14ac:dyDescent="0.25">
      <c r="A95" t="s">
        <v>199</v>
      </c>
      <c r="B95" t="s">
        <v>200</v>
      </c>
      <c r="C95" t="s">
        <v>201</v>
      </c>
      <c r="E95" t="s">
        <v>84</v>
      </c>
      <c r="F95" t="s">
        <v>79</v>
      </c>
      <c r="G95" t="s">
        <v>85</v>
      </c>
    </row>
    <row r="96" spans="1:7" hidden="1" x14ac:dyDescent="0.25">
      <c r="A96" t="s">
        <v>199</v>
      </c>
      <c r="B96" t="s">
        <v>200</v>
      </c>
      <c r="C96" t="s">
        <v>222</v>
      </c>
      <c r="D96" t="s">
        <v>186</v>
      </c>
      <c r="E96" t="s">
        <v>35</v>
      </c>
      <c r="F96" t="s">
        <v>36</v>
      </c>
      <c r="G96" t="s">
        <v>37</v>
      </c>
    </row>
    <row r="97" spans="1:7" hidden="1" x14ac:dyDescent="0.25">
      <c r="A97" t="s">
        <v>199</v>
      </c>
      <c r="B97" t="s">
        <v>200</v>
      </c>
      <c r="C97" t="s">
        <v>222</v>
      </c>
      <c r="D97" t="s">
        <v>202</v>
      </c>
      <c r="E97" t="s">
        <v>39</v>
      </c>
      <c r="F97" t="s">
        <v>36</v>
      </c>
      <c r="G97" t="s">
        <v>40</v>
      </c>
    </row>
    <row r="98" spans="1:7" hidden="1" x14ac:dyDescent="0.25">
      <c r="A98" t="s">
        <v>199</v>
      </c>
      <c r="B98" t="s">
        <v>200</v>
      </c>
      <c r="C98" t="s">
        <v>222</v>
      </c>
      <c r="D98" t="s">
        <v>187</v>
      </c>
      <c r="E98" t="s">
        <v>89</v>
      </c>
      <c r="F98" t="s">
        <v>36</v>
      </c>
      <c r="G98" t="s">
        <v>90</v>
      </c>
    </row>
    <row r="99" spans="1:7" hidden="1" x14ac:dyDescent="0.25">
      <c r="A99" t="s">
        <v>199</v>
      </c>
      <c r="B99" t="s">
        <v>200</v>
      </c>
      <c r="C99" t="s">
        <v>222</v>
      </c>
      <c r="D99" t="s">
        <v>223</v>
      </c>
      <c r="E99" t="s">
        <v>92</v>
      </c>
      <c r="F99" t="s">
        <v>36</v>
      </c>
      <c r="G99" t="s">
        <v>93</v>
      </c>
    </row>
    <row r="100" spans="1:7" hidden="1" x14ac:dyDescent="0.25">
      <c r="A100" t="s">
        <v>199</v>
      </c>
      <c r="B100" t="s">
        <v>200</v>
      </c>
      <c r="C100" t="s">
        <v>222</v>
      </c>
      <c r="D100" t="s">
        <v>188</v>
      </c>
      <c r="E100" t="s">
        <v>95</v>
      </c>
      <c r="F100" t="s">
        <v>36</v>
      </c>
      <c r="G100" t="s">
        <v>96</v>
      </c>
    </row>
    <row r="101" spans="1:7" hidden="1" x14ac:dyDescent="0.25">
      <c r="A101" t="s">
        <v>199</v>
      </c>
      <c r="B101" t="s">
        <v>200</v>
      </c>
      <c r="C101" t="s">
        <v>222</v>
      </c>
      <c r="D101" t="s">
        <v>224</v>
      </c>
      <c r="E101" t="s">
        <v>98</v>
      </c>
      <c r="F101" t="s">
        <v>36</v>
      </c>
      <c r="G101" t="s">
        <v>99</v>
      </c>
    </row>
    <row r="102" spans="1:7" hidden="1" x14ac:dyDescent="0.25">
      <c r="A102" t="s">
        <v>199</v>
      </c>
      <c r="B102" t="s">
        <v>200</v>
      </c>
      <c r="C102" t="s">
        <v>222</v>
      </c>
      <c r="D102" t="s">
        <v>225</v>
      </c>
      <c r="E102" t="s">
        <v>101</v>
      </c>
      <c r="F102" t="s">
        <v>36</v>
      </c>
      <c r="G102" t="s">
        <v>64</v>
      </c>
    </row>
    <row r="103" spans="1:7" hidden="1" x14ac:dyDescent="0.25">
      <c r="A103" t="s">
        <v>199</v>
      </c>
      <c r="B103" t="s">
        <v>200</v>
      </c>
      <c r="C103" t="s">
        <v>222</v>
      </c>
      <c r="D103" t="s">
        <v>226</v>
      </c>
      <c r="E103" t="s">
        <v>103</v>
      </c>
      <c r="F103" t="s">
        <v>36</v>
      </c>
      <c r="G103" t="s">
        <v>104</v>
      </c>
    </row>
    <row r="104" spans="1:7" hidden="1" x14ac:dyDescent="0.25">
      <c r="A104" t="s">
        <v>199</v>
      </c>
      <c r="B104" t="s">
        <v>200</v>
      </c>
      <c r="C104" t="s">
        <v>222</v>
      </c>
      <c r="D104" t="s">
        <v>227</v>
      </c>
      <c r="E104" t="s">
        <v>106</v>
      </c>
      <c r="F104" t="s">
        <v>107</v>
      </c>
      <c r="G104" t="s">
        <v>108</v>
      </c>
    </row>
    <row r="105" spans="1:7" hidden="1" x14ac:dyDescent="0.25">
      <c r="A105" t="s">
        <v>199</v>
      </c>
      <c r="B105" t="s">
        <v>200</v>
      </c>
      <c r="C105" t="s">
        <v>222</v>
      </c>
      <c r="D105" t="s">
        <v>228</v>
      </c>
      <c r="E105" t="s">
        <v>110</v>
      </c>
      <c r="F105" t="s">
        <v>36</v>
      </c>
      <c r="G105" t="s">
        <v>111</v>
      </c>
    </row>
    <row r="106" spans="1:7" hidden="1" x14ac:dyDescent="0.25">
      <c r="A106" t="s">
        <v>199</v>
      </c>
      <c r="B106" t="s">
        <v>200</v>
      </c>
      <c r="C106" t="s">
        <v>222</v>
      </c>
      <c r="D106" t="s">
        <v>229</v>
      </c>
      <c r="E106" t="s">
        <v>113</v>
      </c>
      <c r="F106" t="s">
        <v>36</v>
      </c>
      <c r="G106" t="s">
        <v>114</v>
      </c>
    </row>
    <row r="107" spans="1:7" hidden="1" x14ac:dyDescent="0.25">
      <c r="A107" t="s">
        <v>199</v>
      </c>
      <c r="B107" t="s">
        <v>200</v>
      </c>
      <c r="C107" t="s">
        <v>222</v>
      </c>
      <c r="D107" t="s">
        <v>230</v>
      </c>
      <c r="E107" t="s">
        <v>116</v>
      </c>
      <c r="F107" t="s">
        <v>36</v>
      </c>
      <c r="G107" t="s">
        <v>117</v>
      </c>
    </row>
    <row r="108" spans="1:7" hidden="1" x14ac:dyDescent="0.25">
      <c r="A108" t="s">
        <v>199</v>
      </c>
      <c r="B108" t="s">
        <v>200</v>
      </c>
      <c r="C108" t="s">
        <v>222</v>
      </c>
      <c r="D108" t="s">
        <v>231</v>
      </c>
      <c r="E108" t="s">
        <v>119</v>
      </c>
      <c r="F108" t="s">
        <v>36</v>
      </c>
      <c r="G108" t="s">
        <v>120</v>
      </c>
    </row>
    <row r="109" spans="1:7" hidden="1" x14ac:dyDescent="0.25">
      <c r="A109" t="s">
        <v>199</v>
      </c>
      <c r="B109" t="s">
        <v>200</v>
      </c>
      <c r="C109" t="s">
        <v>222</v>
      </c>
      <c r="D109" t="s">
        <v>232</v>
      </c>
      <c r="E109" t="s">
        <v>122</v>
      </c>
      <c r="F109" t="s">
        <v>36</v>
      </c>
      <c r="G109" t="s">
        <v>123</v>
      </c>
    </row>
    <row r="110" spans="1:7" hidden="1" x14ac:dyDescent="0.25">
      <c r="A110" t="s">
        <v>199</v>
      </c>
      <c r="B110" t="s">
        <v>200</v>
      </c>
      <c r="C110" t="s">
        <v>222</v>
      </c>
      <c r="D110" t="s">
        <v>233</v>
      </c>
      <c r="E110" t="s">
        <v>18</v>
      </c>
      <c r="F110" t="s">
        <v>36</v>
      </c>
      <c r="G110" t="s">
        <v>125</v>
      </c>
    </row>
    <row r="111" spans="1:7" hidden="1" x14ac:dyDescent="0.25">
      <c r="A111" t="s">
        <v>199</v>
      </c>
      <c r="B111" t="s">
        <v>200</v>
      </c>
      <c r="C111" t="s">
        <v>222</v>
      </c>
      <c r="D111" t="s">
        <v>234</v>
      </c>
      <c r="E111" t="s">
        <v>127</v>
      </c>
      <c r="F111" t="s">
        <v>36</v>
      </c>
      <c r="G111" t="s">
        <v>128</v>
      </c>
    </row>
    <row r="112" spans="1:7" hidden="1" x14ac:dyDescent="0.25">
      <c r="A112" t="s">
        <v>199</v>
      </c>
      <c r="B112" t="s">
        <v>200</v>
      </c>
      <c r="C112" t="s">
        <v>222</v>
      </c>
      <c r="D112" t="s">
        <v>235</v>
      </c>
      <c r="E112" t="s">
        <v>130</v>
      </c>
      <c r="F112" t="s">
        <v>36</v>
      </c>
      <c r="G112" t="s">
        <v>55</v>
      </c>
    </row>
    <row r="113" spans="1:7" hidden="1" x14ac:dyDescent="0.25">
      <c r="A113" t="s">
        <v>199</v>
      </c>
      <c r="B113" t="s">
        <v>200</v>
      </c>
      <c r="C113" t="s">
        <v>222</v>
      </c>
      <c r="D113" t="s">
        <v>236</v>
      </c>
      <c r="E113" t="s">
        <v>135</v>
      </c>
      <c r="F113" t="s">
        <v>36</v>
      </c>
      <c r="G113" t="s">
        <v>237</v>
      </c>
    </row>
    <row r="114" spans="1:7" hidden="1" x14ac:dyDescent="0.25">
      <c r="A114" t="s">
        <v>199</v>
      </c>
      <c r="B114" t="s">
        <v>200</v>
      </c>
      <c r="C114" t="s">
        <v>222</v>
      </c>
      <c r="D114" t="s">
        <v>238</v>
      </c>
      <c r="E114" t="s">
        <v>239</v>
      </c>
      <c r="F114" t="s">
        <v>36</v>
      </c>
      <c r="G114" t="s">
        <v>240</v>
      </c>
    </row>
    <row r="115" spans="1:7" hidden="1" x14ac:dyDescent="0.25">
      <c r="A115" t="s">
        <v>199</v>
      </c>
      <c r="B115" t="s">
        <v>200</v>
      </c>
      <c r="C115" t="s">
        <v>222</v>
      </c>
      <c r="D115" t="s">
        <v>241</v>
      </c>
      <c r="E115" t="s">
        <v>242</v>
      </c>
      <c r="F115" t="s">
        <v>36</v>
      </c>
      <c r="G115" t="s">
        <v>243</v>
      </c>
    </row>
    <row r="116" spans="1:7" hidden="1" x14ac:dyDescent="0.25">
      <c r="A116" t="s">
        <v>199</v>
      </c>
      <c r="B116" t="s">
        <v>200</v>
      </c>
      <c r="C116" t="s">
        <v>222</v>
      </c>
      <c r="D116" t="s">
        <v>244</v>
      </c>
      <c r="E116" t="s">
        <v>245</v>
      </c>
      <c r="F116" t="s">
        <v>36</v>
      </c>
      <c r="G116" t="s">
        <v>246</v>
      </c>
    </row>
    <row r="117" spans="1:7" hidden="1" x14ac:dyDescent="0.25">
      <c r="A117" t="s">
        <v>199</v>
      </c>
      <c r="B117" t="s">
        <v>200</v>
      </c>
      <c r="C117" t="s">
        <v>222</v>
      </c>
      <c r="E117" t="s">
        <v>84</v>
      </c>
      <c r="F117" t="s">
        <v>79</v>
      </c>
      <c r="G117" t="s">
        <v>85</v>
      </c>
    </row>
    <row r="118" spans="1:7" hidden="1" x14ac:dyDescent="0.25">
      <c r="A118" t="s">
        <v>199</v>
      </c>
      <c r="B118" t="s">
        <v>200</v>
      </c>
      <c r="C118" t="s">
        <v>247</v>
      </c>
      <c r="D118" t="s">
        <v>186</v>
      </c>
      <c r="E118" t="s">
        <v>35</v>
      </c>
      <c r="F118" t="s">
        <v>36</v>
      </c>
      <c r="G118" t="s">
        <v>37</v>
      </c>
    </row>
    <row r="119" spans="1:7" hidden="1" x14ac:dyDescent="0.25">
      <c r="A119" t="s">
        <v>199</v>
      </c>
      <c r="B119" t="s">
        <v>200</v>
      </c>
      <c r="C119" t="s">
        <v>247</v>
      </c>
      <c r="D119" t="s">
        <v>202</v>
      </c>
      <c r="E119" t="s">
        <v>39</v>
      </c>
      <c r="F119" t="s">
        <v>36</v>
      </c>
      <c r="G119" t="s">
        <v>40</v>
      </c>
    </row>
    <row r="120" spans="1:7" hidden="1" x14ac:dyDescent="0.25">
      <c r="A120" t="s">
        <v>199</v>
      </c>
      <c r="B120" t="s">
        <v>200</v>
      </c>
      <c r="C120" t="s">
        <v>247</v>
      </c>
      <c r="D120" t="s">
        <v>187</v>
      </c>
      <c r="E120" t="s">
        <v>89</v>
      </c>
      <c r="F120" t="s">
        <v>36</v>
      </c>
      <c r="G120" t="s">
        <v>90</v>
      </c>
    </row>
    <row r="121" spans="1:7" hidden="1" x14ac:dyDescent="0.25">
      <c r="A121" t="s">
        <v>199</v>
      </c>
      <c r="B121" t="s">
        <v>200</v>
      </c>
      <c r="C121" t="s">
        <v>247</v>
      </c>
      <c r="D121" t="s">
        <v>248</v>
      </c>
      <c r="E121" t="s">
        <v>144</v>
      </c>
      <c r="F121" t="s">
        <v>36</v>
      </c>
      <c r="G121" t="s">
        <v>145</v>
      </c>
    </row>
    <row r="122" spans="1:7" hidden="1" x14ac:dyDescent="0.25">
      <c r="A122" t="s">
        <v>199</v>
      </c>
      <c r="B122" t="s">
        <v>200</v>
      </c>
      <c r="C122" t="s">
        <v>247</v>
      </c>
      <c r="D122" t="s">
        <v>249</v>
      </c>
      <c r="E122" t="s">
        <v>147</v>
      </c>
      <c r="F122" t="s">
        <v>36</v>
      </c>
      <c r="G122" t="s">
        <v>148</v>
      </c>
    </row>
    <row r="123" spans="1:7" hidden="1" x14ac:dyDescent="0.25">
      <c r="A123" t="s">
        <v>199</v>
      </c>
      <c r="B123" t="s">
        <v>200</v>
      </c>
      <c r="C123" t="s">
        <v>247</v>
      </c>
      <c r="D123" t="s">
        <v>250</v>
      </c>
      <c r="E123" t="s">
        <v>150</v>
      </c>
      <c r="F123" t="s">
        <v>36</v>
      </c>
      <c r="G123" t="s">
        <v>151</v>
      </c>
    </row>
    <row r="124" spans="1:7" hidden="1" x14ac:dyDescent="0.25">
      <c r="A124" t="s">
        <v>199</v>
      </c>
      <c r="B124" t="s">
        <v>200</v>
      </c>
      <c r="C124" t="s">
        <v>247</v>
      </c>
      <c r="D124" t="s">
        <v>251</v>
      </c>
      <c r="E124" t="s">
        <v>153</v>
      </c>
      <c r="F124" t="s">
        <v>36</v>
      </c>
      <c r="G124" t="s">
        <v>252</v>
      </c>
    </row>
    <row r="125" spans="1:7" hidden="1" x14ac:dyDescent="0.25">
      <c r="A125" t="s">
        <v>199</v>
      </c>
      <c r="B125" t="s">
        <v>200</v>
      </c>
      <c r="C125" t="s">
        <v>247</v>
      </c>
      <c r="D125" t="s">
        <v>253</v>
      </c>
      <c r="E125" t="s">
        <v>156</v>
      </c>
      <c r="F125" t="s">
        <v>36</v>
      </c>
      <c r="G125" t="s">
        <v>157</v>
      </c>
    </row>
    <row r="126" spans="1:7" hidden="1" x14ac:dyDescent="0.25">
      <c r="A126" t="s">
        <v>199</v>
      </c>
      <c r="B126" t="s">
        <v>200</v>
      </c>
      <c r="C126" t="s">
        <v>247</v>
      </c>
      <c r="D126" t="s">
        <v>254</v>
      </c>
      <c r="E126" t="s">
        <v>159</v>
      </c>
      <c r="F126" t="s">
        <v>36</v>
      </c>
      <c r="G126" t="s">
        <v>160</v>
      </c>
    </row>
    <row r="127" spans="1:7" hidden="1" x14ac:dyDescent="0.25">
      <c r="A127" t="s">
        <v>199</v>
      </c>
      <c r="B127" t="s">
        <v>200</v>
      </c>
      <c r="C127" t="s">
        <v>247</v>
      </c>
      <c r="D127" t="s">
        <v>255</v>
      </c>
      <c r="E127" t="s">
        <v>162</v>
      </c>
      <c r="F127" t="s">
        <v>36</v>
      </c>
      <c r="G127" t="s">
        <v>163</v>
      </c>
    </row>
    <row r="128" spans="1:7" hidden="1" x14ac:dyDescent="0.25">
      <c r="A128" t="s">
        <v>199</v>
      </c>
      <c r="B128" t="s">
        <v>200</v>
      </c>
      <c r="C128" t="s">
        <v>256</v>
      </c>
      <c r="D128" t="s">
        <v>257</v>
      </c>
      <c r="E128" t="s">
        <v>35</v>
      </c>
      <c r="F128" t="s">
        <v>36</v>
      </c>
      <c r="G128" t="s">
        <v>37</v>
      </c>
    </row>
    <row r="129" spans="1:7" hidden="1" x14ac:dyDescent="0.25">
      <c r="A129" t="s">
        <v>199</v>
      </c>
      <c r="B129" t="s">
        <v>200</v>
      </c>
      <c r="C129" t="s">
        <v>256</v>
      </c>
      <c r="D129" t="s">
        <v>187</v>
      </c>
      <c r="E129" t="s">
        <v>89</v>
      </c>
      <c r="F129" t="s">
        <v>36</v>
      </c>
      <c r="G129" t="s">
        <v>90</v>
      </c>
    </row>
    <row r="130" spans="1:7" hidden="1" x14ac:dyDescent="0.25">
      <c r="A130" t="s">
        <v>199</v>
      </c>
      <c r="B130" t="s">
        <v>200</v>
      </c>
      <c r="C130" t="s">
        <v>256</v>
      </c>
      <c r="D130" t="s">
        <v>258</v>
      </c>
      <c r="E130" t="s">
        <v>167</v>
      </c>
      <c r="F130" t="s">
        <v>36</v>
      </c>
      <c r="G130" t="s">
        <v>168</v>
      </c>
    </row>
    <row r="131" spans="1:7" hidden="1" x14ac:dyDescent="0.25">
      <c r="A131" t="s">
        <v>199</v>
      </c>
      <c r="B131" t="s">
        <v>200</v>
      </c>
      <c r="C131" t="s">
        <v>259</v>
      </c>
      <c r="D131" t="s">
        <v>257</v>
      </c>
      <c r="E131" t="s">
        <v>35</v>
      </c>
      <c r="F131" t="s">
        <v>36</v>
      </c>
    </row>
    <row r="132" spans="1:7" hidden="1" x14ac:dyDescent="0.25">
      <c r="A132" t="s">
        <v>199</v>
      </c>
      <c r="B132" t="s">
        <v>200</v>
      </c>
      <c r="C132" t="s">
        <v>259</v>
      </c>
      <c r="D132" t="s">
        <v>187</v>
      </c>
      <c r="E132" t="s">
        <v>89</v>
      </c>
      <c r="F132" t="s">
        <v>36</v>
      </c>
    </row>
    <row r="133" spans="1:7" hidden="1" x14ac:dyDescent="0.25">
      <c r="A133" t="s">
        <v>199</v>
      </c>
      <c r="B133" t="s">
        <v>200</v>
      </c>
      <c r="C133" t="s">
        <v>259</v>
      </c>
      <c r="D133" t="s">
        <v>260</v>
      </c>
      <c r="E133" t="s">
        <v>171</v>
      </c>
      <c r="F133" t="s">
        <v>36</v>
      </c>
    </row>
    <row r="134" spans="1:7" hidden="1" x14ac:dyDescent="0.25">
      <c r="A134" t="s">
        <v>199</v>
      </c>
      <c r="B134" t="s">
        <v>200</v>
      </c>
      <c r="C134" t="s">
        <v>259</v>
      </c>
      <c r="D134" t="s">
        <v>261</v>
      </c>
      <c r="E134" t="s">
        <v>173</v>
      </c>
      <c r="F134" t="s">
        <v>36</v>
      </c>
    </row>
    <row r="135" spans="1:7" hidden="1" x14ac:dyDescent="0.25">
      <c r="A135" t="s">
        <v>199</v>
      </c>
      <c r="B135" t="s">
        <v>200</v>
      </c>
      <c r="C135" t="s">
        <v>259</v>
      </c>
      <c r="D135" t="s">
        <v>262</v>
      </c>
      <c r="E135" t="s">
        <v>175</v>
      </c>
      <c r="F135" t="s">
        <v>36</v>
      </c>
    </row>
    <row r="136" spans="1:7" x14ac:dyDescent="0.25">
      <c r="A136" t="s">
        <v>199</v>
      </c>
      <c r="B136" t="s">
        <v>200</v>
      </c>
      <c r="C136" t="s">
        <v>263</v>
      </c>
      <c r="D136" t="s">
        <v>186</v>
      </c>
      <c r="E136" t="s">
        <v>35</v>
      </c>
      <c r="F136" t="s">
        <v>36</v>
      </c>
      <c r="G136" t="s">
        <v>37</v>
      </c>
    </row>
    <row r="137" spans="1:7" x14ac:dyDescent="0.25">
      <c r="A137" t="s">
        <v>199</v>
      </c>
      <c r="B137" t="s">
        <v>200</v>
      </c>
      <c r="C137" t="s">
        <v>263</v>
      </c>
      <c r="D137" t="s">
        <v>202</v>
      </c>
      <c r="E137" t="s">
        <v>39</v>
      </c>
      <c r="F137" t="s">
        <v>36</v>
      </c>
      <c r="G137" t="s">
        <v>40</v>
      </c>
    </row>
    <row r="138" spans="1:7" x14ac:dyDescent="0.25">
      <c r="A138" t="s">
        <v>199</v>
      </c>
      <c r="B138" t="s">
        <v>200</v>
      </c>
      <c r="C138" t="s">
        <v>263</v>
      </c>
      <c r="D138" t="s">
        <v>187</v>
      </c>
      <c r="E138" t="s">
        <v>89</v>
      </c>
      <c r="F138" t="s">
        <v>36</v>
      </c>
      <c r="G138" t="s">
        <v>90</v>
      </c>
    </row>
    <row r="139" spans="1:7" x14ac:dyDescent="0.25">
      <c r="A139" t="s">
        <v>199</v>
      </c>
      <c r="B139" t="s">
        <v>200</v>
      </c>
      <c r="C139" t="s">
        <v>263</v>
      </c>
      <c r="D139" t="s">
        <v>186</v>
      </c>
      <c r="E139" t="s">
        <v>14</v>
      </c>
      <c r="F139" t="s">
        <v>36</v>
      </c>
      <c r="G139" t="s">
        <v>264</v>
      </c>
    </row>
    <row r="140" spans="1:7" x14ac:dyDescent="0.25">
      <c r="A140" t="s">
        <v>199</v>
      </c>
      <c r="B140" t="s">
        <v>200</v>
      </c>
      <c r="C140" t="s">
        <v>263</v>
      </c>
      <c r="D140" t="s">
        <v>202</v>
      </c>
      <c r="E140" t="s">
        <v>265</v>
      </c>
      <c r="F140" t="s">
        <v>36</v>
      </c>
      <c r="G140" t="s">
        <v>177</v>
      </c>
    </row>
    <row r="141" spans="1:7" x14ac:dyDescent="0.25">
      <c r="A141" t="s">
        <v>199</v>
      </c>
      <c r="B141" t="s">
        <v>200</v>
      </c>
      <c r="C141" t="s">
        <v>263</v>
      </c>
      <c r="D141" t="s">
        <v>187</v>
      </c>
      <c r="E141" t="s">
        <v>15</v>
      </c>
      <c r="F141" t="s">
        <v>36</v>
      </c>
      <c r="G141" t="s">
        <v>178</v>
      </c>
    </row>
    <row r="142" spans="1:7" x14ac:dyDescent="0.25">
      <c r="A142" t="s">
        <v>199</v>
      </c>
      <c r="B142" t="s">
        <v>200</v>
      </c>
      <c r="C142" t="s">
        <v>263</v>
      </c>
      <c r="D142" t="s">
        <v>208</v>
      </c>
      <c r="E142" t="s">
        <v>57</v>
      </c>
      <c r="F142" t="s">
        <v>36</v>
      </c>
    </row>
    <row r="143" spans="1:7" x14ac:dyDescent="0.25">
      <c r="A143" t="s">
        <v>199</v>
      </c>
      <c r="B143" t="s">
        <v>200</v>
      </c>
      <c r="C143" t="s">
        <v>263</v>
      </c>
      <c r="D143" t="s">
        <v>228</v>
      </c>
      <c r="E143" t="s">
        <v>16</v>
      </c>
      <c r="F143" t="s">
        <v>36</v>
      </c>
    </row>
    <row r="144" spans="1:7" x14ac:dyDescent="0.25">
      <c r="A144" t="s">
        <v>199</v>
      </c>
      <c r="B144" t="s">
        <v>200</v>
      </c>
      <c r="C144" t="s">
        <v>263</v>
      </c>
      <c r="D144" t="s">
        <v>230</v>
      </c>
      <c r="E144" t="s">
        <v>179</v>
      </c>
      <c r="F144" t="s">
        <v>36</v>
      </c>
      <c r="G144" t="s">
        <v>180</v>
      </c>
    </row>
    <row r="145" spans="1:7" x14ac:dyDescent="0.25">
      <c r="A145" t="s">
        <v>199</v>
      </c>
      <c r="B145" t="s">
        <v>200</v>
      </c>
      <c r="C145" t="s">
        <v>263</v>
      </c>
      <c r="D145" t="s">
        <v>232</v>
      </c>
      <c r="E145" t="s">
        <v>266</v>
      </c>
      <c r="F145" t="s">
        <v>36</v>
      </c>
    </row>
    <row r="146" spans="1:7" x14ac:dyDescent="0.25">
      <c r="A146" t="s">
        <v>199</v>
      </c>
      <c r="B146" t="s">
        <v>200</v>
      </c>
      <c r="C146" t="s">
        <v>263</v>
      </c>
      <c r="D146" t="s">
        <v>233</v>
      </c>
      <c r="E146" t="s">
        <v>18</v>
      </c>
      <c r="F146" t="s">
        <v>36</v>
      </c>
      <c r="G146" t="s">
        <v>182</v>
      </c>
    </row>
    <row r="147" spans="1:7" x14ac:dyDescent="0.25">
      <c r="A147" t="s">
        <v>199</v>
      </c>
      <c r="B147" t="s">
        <v>200</v>
      </c>
      <c r="C147" t="s">
        <v>263</v>
      </c>
      <c r="D147" t="s">
        <v>234</v>
      </c>
      <c r="E147" t="s">
        <v>127</v>
      </c>
      <c r="F147" t="s">
        <v>36</v>
      </c>
      <c r="G147" t="s">
        <v>183</v>
      </c>
    </row>
    <row r="148" spans="1:7" hidden="1" x14ac:dyDescent="0.25">
      <c r="A148" t="s">
        <v>267</v>
      </c>
      <c r="B148" t="s">
        <v>268</v>
      </c>
      <c r="C148" t="s">
        <v>269</v>
      </c>
      <c r="D148" t="s">
        <v>34</v>
      </c>
      <c r="E148" t="s">
        <v>270</v>
      </c>
      <c r="F148" t="s">
        <v>271</v>
      </c>
      <c r="G148" t="s">
        <v>40</v>
      </c>
    </row>
    <row r="149" spans="1:7" hidden="1" x14ac:dyDescent="0.25">
      <c r="A149" t="s">
        <v>267</v>
      </c>
      <c r="B149" t="s">
        <v>268</v>
      </c>
      <c r="C149" t="s">
        <v>269</v>
      </c>
      <c r="D149" t="s">
        <v>41</v>
      </c>
      <c r="E149" t="s">
        <v>42</v>
      </c>
      <c r="F149" t="s">
        <v>271</v>
      </c>
      <c r="G149" t="s">
        <v>43</v>
      </c>
    </row>
    <row r="150" spans="1:7" hidden="1" x14ac:dyDescent="0.25">
      <c r="A150" t="s">
        <v>267</v>
      </c>
      <c r="B150" t="s">
        <v>268</v>
      </c>
      <c r="C150" t="s">
        <v>269</v>
      </c>
      <c r="D150" t="s">
        <v>44</v>
      </c>
      <c r="E150" t="s">
        <v>45</v>
      </c>
      <c r="F150" t="s">
        <v>271</v>
      </c>
      <c r="G150" t="s">
        <v>46</v>
      </c>
    </row>
    <row r="151" spans="1:7" hidden="1" x14ac:dyDescent="0.25">
      <c r="A151" t="s">
        <v>267</v>
      </c>
      <c r="B151" t="s">
        <v>268</v>
      </c>
      <c r="C151" t="s">
        <v>269</v>
      </c>
      <c r="D151" t="s">
        <v>47</v>
      </c>
      <c r="E151" t="s">
        <v>48</v>
      </c>
      <c r="F151" t="s">
        <v>271</v>
      </c>
      <c r="G151" t="s">
        <v>49</v>
      </c>
    </row>
    <row r="152" spans="1:7" hidden="1" x14ac:dyDescent="0.25">
      <c r="A152" t="s">
        <v>267</v>
      </c>
      <c r="B152" t="s">
        <v>268</v>
      </c>
      <c r="C152" t="s">
        <v>269</v>
      </c>
      <c r="D152" t="s">
        <v>50</v>
      </c>
      <c r="E152" t="s">
        <v>51</v>
      </c>
      <c r="F152" t="s">
        <v>271</v>
      </c>
      <c r="G152" t="s">
        <v>52</v>
      </c>
    </row>
    <row r="153" spans="1:7" hidden="1" x14ac:dyDescent="0.25">
      <c r="A153" t="s">
        <v>267</v>
      </c>
      <c r="B153" t="s">
        <v>268</v>
      </c>
      <c r="C153" t="s">
        <v>269</v>
      </c>
      <c r="D153" t="s">
        <v>53</v>
      </c>
      <c r="E153" t="s">
        <v>54</v>
      </c>
      <c r="F153" t="s">
        <v>271</v>
      </c>
      <c r="G153" t="s">
        <v>272</v>
      </c>
    </row>
    <row r="154" spans="1:7" hidden="1" x14ac:dyDescent="0.25">
      <c r="A154" t="s">
        <v>267</v>
      </c>
      <c r="B154" t="s">
        <v>268</v>
      </c>
      <c r="C154" t="s">
        <v>269</v>
      </c>
      <c r="D154" t="s">
        <v>56</v>
      </c>
      <c r="E154" t="s">
        <v>57</v>
      </c>
      <c r="F154" t="s">
        <v>271</v>
      </c>
      <c r="G154" t="s">
        <v>209</v>
      </c>
    </row>
    <row r="155" spans="1:7" hidden="1" x14ac:dyDescent="0.25">
      <c r="A155" t="s">
        <v>267</v>
      </c>
      <c r="B155" t="s">
        <v>268</v>
      </c>
      <c r="C155" t="s">
        <v>269</v>
      </c>
      <c r="D155" t="s">
        <v>59</v>
      </c>
      <c r="E155" t="s">
        <v>60</v>
      </c>
      <c r="F155" t="s">
        <v>271</v>
      </c>
      <c r="G155" t="s">
        <v>61</v>
      </c>
    </row>
    <row r="156" spans="1:7" hidden="1" x14ac:dyDescent="0.25">
      <c r="A156" t="s">
        <v>267</v>
      </c>
      <c r="B156" t="s">
        <v>268</v>
      </c>
      <c r="C156" t="s">
        <v>269</v>
      </c>
      <c r="D156" t="s">
        <v>62</v>
      </c>
      <c r="E156" t="s">
        <v>63</v>
      </c>
      <c r="F156" t="s">
        <v>271</v>
      </c>
      <c r="G156" t="s">
        <v>64</v>
      </c>
    </row>
    <row r="157" spans="1:7" hidden="1" x14ac:dyDescent="0.25">
      <c r="A157" t="s">
        <v>267</v>
      </c>
      <c r="B157" t="s">
        <v>268</v>
      </c>
      <c r="C157" t="s">
        <v>269</v>
      </c>
      <c r="D157" t="s">
        <v>65</v>
      </c>
      <c r="E157" t="s">
        <v>66</v>
      </c>
      <c r="F157" t="s">
        <v>271</v>
      </c>
      <c r="G157" t="s">
        <v>67</v>
      </c>
    </row>
    <row r="158" spans="1:7" hidden="1" x14ac:dyDescent="0.25">
      <c r="A158" t="s">
        <v>267</v>
      </c>
      <c r="B158" t="s">
        <v>268</v>
      </c>
      <c r="C158" t="s">
        <v>269</v>
      </c>
      <c r="D158" t="s">
        <v>68</v>
      </c>
      <c r="E158" t="s">
        <v>69</v>
      </c>
      <c r="F158" t="s">
        <v>271</v>
      </c>
      <c r="G158" t="s">
        <v>70</v>
      </c>
    </row>
    <row r="159" spans="1:7" hidden="1" x14ac:dyDescent="0.25">
      <c r="A159" t="s">
        <v>267</v>
      </c>
      <c r="B159" t="s">
        <v>268</v>
      </c>
      <c r="C159" t="s">
        <v>269</v>
      </c>
      <c r="D159" t="s">
        <v>273</v>
      </c>
      <c r="E159" t="s">
        <v>72</v>
      </c>
      <c r="F159" t="s">
        <v>271</v>
      </c>
      <c r="G159" t="s">
        <v>73</v>
      </c>
    </row>
    <row r="160" spans="1:7" hidden="1" x14ac:dyDescent="0.25">
      <c r="A160" t="s">
        <v>267</v>
      </c>
      <c r="B160" t="s">
        <v>268</v>
      </c>
      <c r="C160" t="s">
        <v>269</v>
      </c>
      <c r="E160" t="s">
        <v>84</v>
      </c>
      <c r="F160" t="s">
        <v>271</v>
      </c>
      <c r="G160" t="s">
        <v>85</v>
      </c>
    </row>
    <row r="161" spans="1:7" hidden="1" x14ac:dyDescent="0.25">
      <c r="A161" t="s">
        <v>267</v>
      </c>
      <c r="B161" t="s">
        <v>268</v>
      </c>
      <c r="C161" t="s">
        <v>274</v>
      </c>
      <c r="D161" t="s">
        <v>87</v>
      </c>
      <c r="E161" t="s">
        <v>165</v>
      </c>
      <c r="F161" t="s">
        <v>271</v>
      </c>
      <c r="G161" t="s">
        <v>40</v>
      </c>
    </row>
    <row r="162" spans="1:7" hidden="1" x14ac:dyDescent="0.25">
      <c r="A162" t="s">
        <v>267</v>
      </c>
      <c r="B162" t="s">
        <v>268</v>
      </c>
      <c r="C162" t="s">
        <v>274</v>
      </c>
      <c r="D162" t="s">
        <v>88</v>
      </c>
      <c r="E162" t="s">
        <v>89</v>
      </c>
      <c r="F162" t="s">
        <v>271</v>
      </c>
      <c r="G162" t="s">
        <v>90</v>
      </c>
    </row>
    <row r="163" spans="1:7" hidden="1" x14ac:dyDescent="0.25">
      <c r="A163" t="s">
        <v>267</v>
      </c>
      <c r="B163" t="s">
        <v>268</v>
      </c>
      <c r="C163" t="s">
        <v>274</v>
      </c>
      <c r="D163" t="s">
        <v>91</v>
      </c>
      <c r="E163" t="s">
        <v>92</v>
      </c>
      <c r="F163" t="s">
        <v>271</v>
      </c>
      <c r="G163" t="s">
        <v>275</v>
      </c>
    </row>
    <row r="164" spans="1:7" hidden="1" x14ac:dyDescent="0.25">
      <c r="A164" t="s">
        <v>267</v>
      </c>
      <c r="B164" t="s">
        <v>268</v>
      </c>
      <c r="C164" t="s">
        <v>274</v>
      </c>
      <c r="D164" t="s">
        <v>94</v>
      </c>
      <c r="E164" t="s">
        <v>95</v>
      </c>
      <c r="F164" t="s">
        <v>271</v>
      </c>
      <c r="G164" t="s">
        <v>96</v>
      </c>
    </row>
    <row r="165" spans="1:7" hidden="1" x14ac:dyDescent="0.25">
      <c r="A165" t="s">
        <v>267</v>
      </c>
      <c r="B165" t="s">
        <v>268</v>
      </c>
      <c r="C165" t="s">
        <v>274</v>
      </c>
      <c r="D165" t="s">
        <v>97</v>
      </c>
      <c r="E165" t="s">
        <v>98</v>
      </c>
      <c r="F165" t="s">
        <v>271</v>
      </c>
      <c r="G165" t="s">
        <v>138</v>
      </c>
    </row>
    <row r="166" spans="1:7" hidden="1" x14ac:dyDescent="0.25">
      <c r="A166" t="s">
        <v>267</v>
      </c>
      <c r="B166" t="s">
        <v>268</v>
      </c>
      <c r="C166" t="s">
        <v>274</v>
      </c>
      <c r="D166" t="s">
        <v>100</v>
      </c>
      <c r="E166" t="s">
        <v>101</v>
      </c>
      <c r="F166" t="s">
        <v>271</v>
      </c>
      <c r="G166" t="s">
        <v>64</v>
      </c>
    </row>
    <row r="167" spans="1:7" hidden="1" x14ac:dyDescent="0.25">
      <c r="A167" t="s">
        <v>267</v>
      </c>
      <c r="B167" t="s">
        <v>268</v>
      </c>
      <c r="C167" t="s">
        <v>274</v>
      </c>
      <c r="D167" t="s">
        <v>102</v>
      </c>
      <c r="E167" t="s">
        <v>103</v>
      </c>
      <c r="F167" t="s">
        <v>271</v>
      </c>
      <c r="G167" t="s">
        <v>276</v>
      </c>
    </row>
    <row r="168" spans="1:7" hidden="1" x14ac:dyDescent="0.25">
      <c r="A168" t="s">
        <v>267</v>
      </c>
      <c r="B168" t="s">
        <v>268</v>
      </c>
      <c r="C168" t="s">
        <v>274</v>
      </c>
      <c r="D168" t="s">
        <v>109</v>
      </c>
      <c r="E168" t="s">
        <v>110</v>
      </c>
      <c r="F168" t="s">
        <v>271</v>
      </c>
      <c r="G168" t="s">
        <v>277</v>
      </c>
    </row>
    <row r="169" spans="1:7" hidden="1" x14ac:dyDescent="0.25">
      <c r="A169" t="s">
        <v>267</v>
      </c>
      <c r="B169" t="s">
        <v>268</v>
      </c>
      <c r="C169" t="s">
        <v>274</v>
      </c>
      <c r="D169" t="s">
        <v>112</v>
      </c>
      <c r="E169" t="s">
        <v>106</v>
      </c>
      <c r="F169" t="s">
        <v>271</v>
      </c>
      <c r="G169" t="s">
        <v>108</v>
      </c>
    </row>
    <row r="170" spans="1:7" hidden="1" x14ac:dyDescent="0.25">
      <c r="A170" t="s">
        <v>267</v>
      </c>
      <c r="B170" t="s">
        <v>268</v>
      </c>
      <c r="C170" t="s">
        <v>274</v>
      </c>
      <c r="D170" t="s">
        <v>278</v>
      </c>
      <c r="E170" t="s">
        <v>113</v>
      </c>
      <c r="F170" t="s">
        <v>271</v>
      </c>
      <c r="G170" t="s">
        <v>114</v>
      </c>
    </row>
    <row r="171" spans="1:7" hidden="1" x14ac:dyDescent="0.25">
      <c r="A171" t="s">
        <v>267</v>
      </c>
      <c r="B171" t="s">
        <v>268</v>
      </c>
      <c r="C171" t="s">
        <v>274</v>
      </c>
      <c r="D171" t="s">
        <v>115</v>
      </c>
      <c r="E171" t="s">
        <v>116</v>
      </c>
      <c r="F171" t="s">
        <v>271</v>
      </c>
      <c r="G171" t="s">
        <v>117</v>
      </c>
    </row>
    <row r="172" spans="1:7" hidden="1" x14ac:dyDescent="0.25">
      <c r="A172" t="s">
        <v>267</v>
      </c>
      <c r="B172" t="s">
        <v>268</v>
      </c>
      <c r="C172" t="s">
        <v>274</v>
      </c>
      <c r="D172" t="s">
        <v>118</v>
      </c>
      <c r="E172" t="s">
        <v>119</v>
      </c>
      <c r="F172" t="s">
        <v>271</v>
      </c>
      <c r="G172" t="s">
        <v>120</v>
      </c>
    </row>
    <row r="173" spans="1:7" hidden="1" x14ac:dyDescent="0.25">
      <c r="A173" t="s">
        <v>267</v>
      </c>
      <c r="B173" t="s">
        <v>268</v>
      </c>
      <c r="C173" t="s">
        <v>274</v>
      </c>
      <c r="D173" t="s">
        <v>121</v>
      </c>
      <c r="E173" t="s">
        <v>122</v>
      </c>
      <c r="F173" t="s">
        <v>271</v>
      </c>
      <c r="G173" t="s">
        <v>123</v>
      </c>
    </row>
    <row r="174" spans="1:7" hidden="1" x14ac:dyDescent="0.25">
      <c r="A174" t="s">
        <v>267</v>
      </c>
      <c r="B174" t="s">
        <v>268</v>
      </c>
      <c r="C174" t="s">
        <v>274</v>
      </c>
      <c r="D174" t="s">
        <v>124</v>
      </c>
      <c r="E174" t="s">
        <v>18</v>
      </c>
      <c r="F174" t="s">
        <v>271</v>
      </c>
      <c r="G174" t="s">
        <v>125</v>
      </c>
    </row>
    <row r="175" spans="1:7" hidden="1" x14ac:dyDescent="0.25">
      <c r="A175" t="s">
        <v>267</v>
      </c>
      <c r="B175" t="s">
        <v>268</v>
      </c>
      <c r="C175" t="s">
        <v>274</v>
      </c>
      <c r="D175" t="s">
        <v>126</v>
      </c>
      <c r="E175" t="s">
        <v>127</v>
      </c>
      <c r="F175" t="s">
        <v>271</v>
      </c>
      <c r="G175" t="s">
        <v>128</v>
      </c>
    </row>
    <row r="176" spans="1:7" hidden="1" x14ac:dyDescent="0.25">
      <c r="A176" t="s">
        <v>267</v>
      </c>
      <c r="B176" t="s">
        <v>268</v>
      </c>
      <c r="C176" t="s">
        <v>274</v>
      </c>
      <c r="D176" t="s">
        <v>129</v>
      </c>
      <c r="E176" t="s">
        <v>130</v>
      </c>
      <c r="F176" t="s">
        <v>271</v>
      </c>
      <c r="G176" t="s">
        <v>272</v>
      </c>
    </row>
    <row r="177" spans="1:7" hidden="1" x14ac:dyDescent="0.25">
      <c r="A177" t="s">
        <v>267</v>
      </c>
      <c r="B177" t="s">
        <v>268</v>
      </c>
      <c r="C177" t="s">
        <v>274</v>
      </c>
      <c r="D177" t="s">
        <v>131</v>
      </c>
      <c r="E177" t="s">
        <v>132</v>
      </c>
      <c r="F177" t="s">
        <v>271</v>
      </c>
      <c r="G177" t="s">
        <v>133</v>
      </c>
    </row>
    <row r="178" spans="1:7" hidden="1" x14ac:dyDescent="0.25">
      <c r="A178" t="s">
        <v>267</v>
      </c>
      <c r="B178" t="s">
        <v>268</v>
      </c>
      <c r="C178" t="s">
        <v>274</v>
      </c>
      <c r="D178" t="s">
        <v>134</v>
      </c>
      <c r="E178" t="s">
        <v>135</v>
      </c>
      <c r="F178" t="s">
        <v>271</v>
      </c>
      <c r="G178">
        <v>0</v>
      </c>
    </row>
    <row r="179" spans="1:7" hidden="1" x14ac:dyDescent="0.25">
      <c r="A179" t="s">
        <v>267</v>
      </c>
      <c r="B179" t="s">
        <v>268</v>
      </c>
      <c r="C179" t="s">
        <v>274</v>
      </c>
      <c r="D179" t="s">
        <v>136</v>
      </c>
      <c r="E179" t="s">
        <v>137</v>
      </c>
      <c r="F179" t="s">
        <v>271</v>
      </c>
      <c r="G179" t="s">
        <v>138</v>
      </c>
    </row>
    <row r="180" spans="1:7" hidden="1" x14ac:dyDescent="0.25">
      <c r="A180" t="s">
        <v>267</v>
      </c>
      <c r="B180" t="s">
        <v>268</v>
      </c>
      <c r="C180" t="s">
        <v>274</v>
      </c>
      <c r="E180" t="s">
        <v>84</v>
      </c>
      <c r="F180" t="s">
        <v>271</v>
      </c>
      <c r="G180" t="s">
        <v>85</v>
      </c>
    </row>
    <row r="181" spans="1:7" hidden="1" x14ac:dyDescent="0.25">
      <c r="A181" t="s">
        <v>267</v>
      </c>
      <c r="B181" t="s">
        <v>268</v>
      </c>
      <c r="C181" t="s">
        <v>279</v>
      </c>
      <c r="D181" t="s">
        <v>34</v>
      </c>
      <c r="E181" t="s">
        <v>165</v>
      </c>
      <c r="F181" t="s">
        <v>271</v>
      </c>
      <c r="G181" t="s">
        <v>40</v>
      </c>
    </row>
    <row r="182" spans="1:7" hidden="1" x14ac:dyDescent="0.25">
      <c r="A182" t="s">
        <v>267</v>
      </c>
      <c r="B182" t="s">
        <v>268</v>
      </c>
      <c r="C182" t="s">
        <v>279</v>
      </c>
      <c r="D182" t="s">
        <v>88</v>
      </c>
      <c r="E182" t="s">
        <v>89</v>
      </c>
      <c r="F182" t="s">
        <v>271</v>
      </c>
      <c r="G182" t="s">
        <v>90</v>
      </c>
    </row>
    <row r="183" spans="1:7" hidden="1" x14ac:dyDescent="0.25">
      <c r="A183" t="s">
        <v>267</v>
      </c>
      <c r="B183" t="s">
        <v>268</v>
      </c>
      <c r="C183" t="s">
        <v>279</v>
      </c>
      <c r="D183" t="s">
        <v>143</v>
      </c>
      <c r="E183" t="s">
        <v>144</v>
      </c>
      <c r="F183" t="s">
        <v>271</v>
      </c>
      <c r="G183" t="s">
        <v>145</v>
      </c>
    </row>
    <row r="184" spans="1:7" hidden="1" x14ac:dyDescent="0.25">
      <c r="A184" t="s">
        <v>267</v>
      </c>
      <c r="B184" t="s">
        <v>268</v>
      </c>
      <c r="C184" t="s">
        <v>279</v>
      </c>
      <c r="D184" t="s">
        <v>146</v>
      </c>
      <c r="E184" t="s">
        <v>147</v>
      </c>
      <c r="F184" t="s">
        <v>271</v>
      </c>
      <c r="G184" t="s">
        <v>148</v>
      </c>
    </row>
    <row r="185" spans="1:7" hidden="1" x14ac:dyDescent="0.25">
      <c r="A185" t="s">
        <v>267</v>
      </c>
      <c r="B185" t="s">
        <v>268</v>
      </c>
      <c r="C185" t="s">
        <v>279</v>
      </c>
      <c r="D185" t="s">
        <v>149</v>
      </c>
      <c r="E185" t="s">
        <v>280</v>
      </c>
      <c r="F185" t="s">
        <v>271</v>
      </c>
      <c r="G185" t="s">
        <v>151</v>
      </c>
    </row>
    <row r="186" spans="1:7" hidden="1" x14ac:dyDescent="0.25">
      <c r="A186" t="s">
        <v>267</v>
      </c>
      <c r="B186" t="s">
        <v>268</v>
      </c>
      <c r="C186" t="s">
        <v>279</v>
      </c>
      <c r="D186" t="s">
        <v>155</v>
      </c>
      <c r="E186" t="s">
        <v>281</v>
      </c>
      <c r="F186" t="s">
        <v>271</v>
      </c>
      <c r="G186" t="s">
        <v>160</v>
      </c>
    </row>
    <row r="187" spans="1:7" hidden="1" x14ac:dyDescent="0.25">
      <c r="A187" t="s">
        <v>267</v>
      </c>
      <c r="B187" t="s">
        <v>268</v>
      </c>
      <c r="C187" t="s">
        <v>279</v>
      </c>
      <c r="D187" t="s">
        <v>158</v>
      </c>
      <c r="E187" t="s">
        <v>282</v>
      </c>
      <c r="F187" t="s">
        <v>271</v>
      </c>
      <c r="G187" t="s">
        <v>163</v>
      </c>
    </row>
    <row r="188" spans="1:7" hidden="1" x14ac:dyDescent="0.25">
      <c r="A188" t="s">
        <v>267</v>
      </c>
      <c r="B188" t="s">
        <v>268</v>
      </c>
      <c r="C188" t="s">
        <v>279</v>
      </c>
      <c r="D188" t="s">
        <v>161</v>
      </c>
      <c r="E188" t="s">
        <v>283</v>
      </c>
      <c r="F188" t="s">
        <v>271</v>
      </c>
      <c r="G188" t="s">
        <v>252</v>
      </c>
    </row>
    <row r="189" spans="1:7" hidden="1" x14ac:dyDescent="0.25">
      <c r="A189" t="s">
        <v>267</v>
      </c>
      <c r="B189" t="s">
        <v>268</v>
      </c>
      <c r="C189" t="s">
        <v>284</v>
      </c>
      <c r="D189" t="s">
        <v>87</v>
      </c>
      <c r="E189" t="s">
        <v>165</v>
      </c>
      <c r="F189" t="s">
        <v>271</v>
      </c>
      <c r="G189" t="s">
        <v>37</v>
      </c>
    </row>
    <row r="190" spans="1:7" hidden="1" x14ac:dyDescent="0.25">
      <c r="A190" t="s">
        <v>267</v>
      </c>
      <c r="B190" t="s">
        <v>268</v>
      </c>
      <c r="C190" t="s">
        <v>284</v>
      </c>
      <c r="D190" t="s">
        <v>88</v>
      </c>
      <c r="E190" t="s">
        <v>89</v>
      </c>
      <c r="F190" t="s">
        <v>271</v>
      </c>
      <c r="G190" t="s">
        <v>90</v>
      </c>
    </row>
    <row r="191" spans="1:7" hidden="1" x14ac:dyDescent="0.25">
      <c r="A191" t="s">
        <v>267</v>
      </c>
      <c r="B191" t="s">
        <v>268</v>
      </c>
      <c r="C191" t="s">
        <v>284</v>
      </c>
      <c r="D191" t="s">
        <v>166</v>
      </c>
      <c r="E191" t="s">
        <v>167</v>
      </c>
      <c r="F191" t="s">
        <v>271</v>
      </c>
      <c r="G191" t="s">
        <v>168</v>
      </c>
    </row>
    <row r="192" spans="1:7" hidden="1" x14ac:dyDescent="0.25">
      <c r="A192" t="s">
        <v>267</v>
      </c>
      <c r="B192" t="s">
        <v>268</v>
      </c>
      <c r="C192" t="s">
        <v>285</v>
      </c>
      <c r="D192" t="s">
        <v>87</v>
      </c>
      <c r="E192" t="s">
        <v>165</v>
      </c>
      <c r="F192" t="s">
        <v>271</v>
      </c>
      <c r="G192" t="s">
        <v>40</v>
      </c>
    </row>
    <row r="193" spans="1:7" hidden="1" x14ac:dyDescent="0.25">
      <c r="A193" t="s">
        <v>267</v>
      </c>
      <c r="B193" t="s">
        <v>268</v>
      </c>
      <c r="C193" t="s">
        <v>285</v>
      </c>
      <c r="D193" t="s">
        <v>88</v>
      </c>
      <c r="E193" t="s">
        <v>89</v>
      </c>
      <c r="F193" t="s">
        <v>271</v>
      </c>
      <c r="G193" t="s">
        <v>90</v>
      </c>
    </row>
    <row r="194" spans="1:7" hidden="1" x14ac:dyDescent="0.25">
      <c r="A194" t="s">
        <v>267</v>
      </c>
      <c r="B194" t="s">
        <v>268</v>
      </c>
      <c r="C194" t="s">
        <v>285</v>
      </c>
      <c r="D194" t="s">
        <v>170</v>
      </c>
      <c r="E194" t="s">
        <v>171</v>
      </c>
      <c r="F194" t="s">
        <v>271</v>
      </c>
    </row>
    <row r="195" spans="1:7" hidden="1" x14ac:dyDescent="0.25">
      <c r="A195" t="s">
        <v>267</v>
      </c>
      <c r="B195" t="s">
        <v>268</v>
      </c>
      <c r="C195" t="s">
        <v>285</v>
      </c>
      <c r="D195" t="s">
        <v>172</v>
      </c>
      <c r="E195" t="s">
        <v>173</v>
      </c>
      <c r="F195" t="s">
        <v>271</v>
      </c>
    </row>
    <row r="196" spans="1:7" hidden="1" x14ac:dyDescent="0.25">
      <c r="A196" t="s">
        <v>267</v>
      </c>
      <c r="B196" t="s">
        <v>268</v>
      </c>
      <c r="C196" t="s">
        <v>285</v>
      </c>
      <c r="D196" t="s">
        <v>174</v>
      </c>
      <c r="E196" t="s">
        <v>175</v>
      </c>
      <c r="F196" t="s">
        <v>271</v>
      </c>
    </row>
    <row r="197" spans="1:7" x14ac:dyDescent="0.25">
      <c r="A197" t="s">
        <v>267</v>
      </c>
      <c r="B197" t="s">
        <v>268</v>
      </c>
      <c r="C197" t="s">
        <v>286</v>
      </c>
      <c r="D197" t="s">
        <v>34</v>
      </c>
      <c r="E197" t="s">
        <v>165</v>
      </c>
      <c r="F197" t="s">
        <v>271</v>
      </c>
      <c r="G197" t="s">
        <v>40</v>
      </c>
    </row>
    <row r="198" spans="1:7" x14ac:dyDescent="0.25">
      <c r="A198" t="s">
        <v>267</v>
      </c>
      <c r="B198" t="s">
        <v>268</v>
      </c>
      <c r="C198" t="s">
        <v>286</v>
      </c>
      <c r="D198" t="s">
        <v>88</v>
      </c>
      <c r="E198" t="s">
        <v>89</v>
      </c>
      <c r="F198" t="s">
        <v>271</v>
      </c>
      <c r="G198" t="s">
        <v>90</v>
      </c>
    </row>
    <row r="199" spans="1:7" x14ac:dyDescent="0.25">
      <c r="A199" t="s">
        <v>267</v>
      </c>
      <c r="B199" t="s">
        <v>268</v>
      </c>
      <c r="C199" t="s">
        <v>286</v>
      </c>
      <c r="D199" t="s">
        <v>34</v>
      </c>
      <c r="E199" t="s">
        <v>287</v>
      </c>
      <c r="F199" t="s">
        <v>271</v>
      </c>
      <c r="G199" t="s">
        <v>177</v>
      </c>
    </row>
    <row r="200" spans="1:7" x14ac:dyDescent="0.25">
      <c r="A200" t="s">
        <v>267</v>
      </c>
      <c r="B200" t="s">
        <v>268</v>
      </c>
      <c r="C200" t="s">
        <v>286</v>
      </c>
      <c r="D200" t="s">
        <v>88</v>
      </c>
      <c r="E200" t="s">
        <v>15</v>
      </c>
      <c r="F200" t="s">
        <v>271</v>
      </c>
      <c r="G200" t="s">
        <v>178</v>
      </c>
    </row>
    <row r="201" spans="1:7" x14ac:dyDescent="0.25">
      <c r="A201" t="s">
        <v>267</v>
      </c>
      <c r="B201" t="s">
        <v>268</v>
      </c>
      <c r="C201" t="s">
        <v>286</v>
      </c>
      <c r="D201" t="s">
        <v>56</v>
      </c>
      <c r="E201" t="s">
        <v>57</v>
      </c>
      <c r="F201" t="s">
        <v>271</v>
      </c>
    </row>
    <row r="202" spans="1:7" x14ac:dyDescent="0.25">
      <c r="A202" t="s">
        <v>267</v>
      </c>
      <c r="B202" t="s">
        <v>268</v>
      </c>
      <c r="C202" t="s">
        <v>286</v>
      </c>
      <c r="D202" t="s">
        <v>109</v>
      </c>
      <c r="E202" t="s">
        <v>16</v>
      </c>
      <c r="F202" t="s">
        <v>271</v>
      </c>
    </row>
    <row r="203" spans="1:7" x14ac:dyDescent="0.25">
      <c r="A203" t="s">
        <v>267</v>
      </c>
      <c r="B203" t="s">
        <v>268</v>
      </c>
      <c r="C203" t="s">
        <v>286</v>
      </c>
      <c r="D203" t="s">
        <v>115</v>
      </c>
      <c r="E203" t="s">
        <v>179</v>
      </c>
      <c r="F203" t="s">
        <v>271</v>
      </c>
      <c r="G203" t="s">
        <v>180</v>
      </c>
    </row>
    <row r="204" spans="1:7" x14ac:dyDescent="0.25">
      <c r="A204" t="s">
        <v>267</v>
      </c>
      <c r="B204" t="s">
        <v>268</v>
      </c>
      <c r="C204" t="s">
        <v>286</v>
      </c>
      <c r="D204" t="s">
        <v>124</v>
      </c>
      <c r="E204" t="s">
        <v>18</v>
      </c>
      <c r="F204" t="s">
        <v>271</v>
      </c>
      <c r="G204" t="s">
        <v>182</v>
      </c>
    </row>
    <row r="205" spans="1:7" x14ac:dyDescent="0.25">
      <c r="A205" t="s">
        <v>267</v>
      </c>
      <c r="B205" t="s">
        <v>268</v>
      </c>
      <c r="C205" t="s">
        <v>286</v>
      </c>
      <c r="D205" t="s">
        <v>288</v>
      </c>
      <c r="E205" t="s">
        <v>127</v>
      </c>
      <c r="F205" t="s">
        <v>271</v>
      </c>
      <c r="G205" t="s">
        <v>183</v>
      </c>
    </row>
    <row r="206" spans="1:7" x14ac:dyDescent="0.25">
      <c r="A206" t="s">
        <v>267</v>
      </c>
      <c r="B206" t="s">
        <v>268</v>
      </c>
      <c r="C206" t="s">
        <v>286</v>
      </c>
      <c r="D206" t="s">
        <v>289</v>
      </c>
      <c r="E206" t="s">
        <v>20</v>
      </c>
      <c r="F206" t="s">
        <v>271</v>
      </c>
    </row>
    <row r="207" spans="1:7" hidden="1" x14ac:dyDescent="0.25">
      <c r="A207" t="s">
        <v>290</v>
      </c>
      <c r="B207" t="s">
        <v>291</v>
      </c>
      <c r="C207" t="s">
        <v>292</v>
      </c>
      <c r="D207" t="s">
        <v>293</v>
      </c>
      <c r="E207" t="s">
        <v>294</v>
      </c>
      <c r="F207" t="s">
        <v>36</v>
      </c>
      <c r="G207" t="s">
        <v>40</v>
      </c>
    </row>
    <row r="208" spans="1:7" hidden="1" x14ac:dyDescent="0.25">
      <c r="A208" t="s">
        <v>290</v>
      </c>
      <c r="B208" t="s">
        <v>291</v>
      </c>
      <c r="C208" t="s">
        <v>292</v>
      </c>
      <c r="D208" t="s">
        <v>295</v>
      </c>
      <c r="E208" t="s">
        <v>296</v>
      </c>
      <c r="F208" t="s">
        <v>36</v>
      </c>
      <c r="G208" t="s">
        <v>297</v>
      </c>
    </row>
    <row r="209" spans="1:7" hidden="1" x14ac:dyDescent="0.25">
      <c r="A209" t="s">
        <v>290</v>
      </c>
      <c r="B209" t="s">
        <v>291</v>
      </c>
      <c r="C209" t="s">
        <v>292</v>
      </c>
      <c r="D209" t="s">
        <v>298</v>
      </c>
      <c r="E209" t="s">
        <v>299</v>
      </c>
      <c r="F209" t="s">
        <v>36</v>
      </c>
      <c r="G209" t="s">
        <v>300</v>
      </c>
    </row>
    <row r="210" spans="1:7" hidden="1" x14ac:dyDescent="0.25">
      <c r="A210" t="s">
        <v>290</v>
      </c>
      <c r="B210" t="s">
        <v>291</v>
      </c>
      <c r="C210" t="s">
        <v>292</v>
      </c>
      <c r="D210" t="s">
        <v>301</v>
      </c>
      <c r="E210" t="s">
        <v>48</v>
      </c>
      <c r="F210" t="s">
        <v>36</v>
      </c>
      <c r="G210" t="s">
        <v>49</v>
      </c>
    </row>
    <row r="211" spans="1:7" hidden="1" x14ac:dyDescent="0.25">
      <c r="A211" t="s">
        <v>290</v>
      </c>
      <c r="B211" t="s">
        <v>291</v>
      </c>
      <c r="C211" t="s">
        <v>292</v>
      </c>
      <c r="D211" t="s">
        <v>302</v>
      </c>
      <c r="E211" t="s">
        <v>54</v>
      </c>
      <c r="F211" t="s">
        <v>36</v>
      </c>
      <c r="G211" t="s">
        <v>272</v>
      </c>
    </row>
    <row r="212" spans="1:7" hidden="1" x14ac:dyDescent="0.25">
      <c r="A212" t="s">
        <v>290</v>
      </c>
      <c r="B212" t="s">
        <v>291</v>
      </c>
      <c r="C212" t="s">
        <v>292</v>
      </c>
      <c r="D212" t="s">
        <v>303</v>
      </c>
      <c r="E212" t="s">
        <v>57</v>
      </c>
      <c r="F212" t="s">
        <v>36</v>
      </c>
      <c r="G212" t="s">
        <v>209</v>
      </c>
    </row>
    <row r="213" spans="1:7" hidden="1" x14ac:dyDescent="0.25">
      <c r="A213" t="s">
        <v>290</v>
      </c>
      <c r="B213" t="s">
        <v>291</v>
      </c>
      <c r="C213" t="s">
        <v>292</v>
      </c>
      <c r="D213" t="s">
        <v>304</v>
      </c>
      <c r="E213" t="s">
        <v>305</v>
      </c>
      <c r="F213" t="s">
        <v>306</v>
      </c>
      <c r="G213" t="s">
        <v>61</v>
      </c>
    </row>
    <row r="214" spans="1:7" hidden="1" x14ac:dyDescent="0.25">
      <c r="A214" t="s">
        <v>290</v>
      </c>
      <c r="B214" t="s">
        <v>291</v>
      </c>
      <c r="C214" t="s">
        <v>292</v>
      </c>
      <c r="D214" t="s">
        <v>307</v>
      </c>
      <c r="E214" t="s">
        <v>63</v>
      </c>
      <c r="F214" t="s">
        <v>306</v>
      </c>
      <c r="G214" t="s">
        <v>64</v>
      </c>
    </row>
    <row r="215" spans="1:7" hidden="1" x14ac:dyDescent="0.25">
      <c r="A215" t="s">
        <v>290</v>
      </c>
      <c r="B215" t="s">
        <v>291</v>
      </c>
      <c r="C215" t="s">
        <v>292</v>
      </c>
      <c r="D215" t="s">
        <v>308</v>
      </c>
      <c r="E215" t="s">
        <v>66</v>
      </c>
      <c r="F215" t="s">
        <v>306</v>
      </c>
      <c r="G215" t="s">
        <v>67</v>
      </c>
    </row>
    <row r="216" spans="1:7" hidden="1" x14ac:dyDescent="0.25">
      <c r="A216" t="s">
        <v>290</v>
      </c>
      <c r="B216" t="s">
        <v>291</v>
      </c>
      <c r="C216" t="s">
        <v>292</v>
      </c>
      <c r="D216" t="s">
        <v>309</v>
      </c>
      <c r="E216" t="s">
        <v>310</v>
      </c>
      <c r="F216" t="s">
        <v>306</v>
      </c>
      <c r="G216" t="s">
        <v>70</v>
      </c>
    </row>
    <row r="217" spans="1:7" hidden="1" x14ac:dyDescent="0.25">
      <c r="A217" t="s">
        <v>290</v>
      </c>
      <c r="B217" t="s">
        <v>291</v>
      </c>
      <c r="C217" t="s">
        <v>292</v>
      </c>
      <c r="D217" t="s">
        <v>311</v>
      </c>
      <c r="E217" t="s">
        <v>312</v>
      </c>
      <c r="F217" t="s">
        <v>306</v>
      </c>
      <c r="G217" t="s">
        <v>73</v>
      </c>
    </row>
    <row r="218" spans="1:7" hidden="1" x14ac:dyDescent="0.25">
      <c r="A218" t="s">
        <v>290</v>
      </c>
      <c r="B218" t="s">
        <v>291</v>
      </c>
      <c r="C218" t="s">
        <v>292</v>
      </c>
      <c r="D218" t="s">
        <v>71</v>
      </c>
      <c r="E218" t="s">
        <v>313</v>
      </c>
      <c r="F218" t="s">
        <v>306</v>
      </c>
      <c r="G218" t="s">
        <v>216</v>
      </c>
    </row>
    <row r="219" spans="1:7" hidden="1" x14ac:dyDescent="0.25">
      <c r="A219" t="s">
        <v>290</v>
      </c>
      <c r="B219" t="s">
        <v>291</v>
      </c>
      <c r="C219" t="s">
        <v>292</v>
      </c>
      <c r="D219" t="s">
        <v>74</v>
      </c>
      <c r="E219" t="s">
        <v>314</v>
      </c>
      <c r="F219" t="s">
        <v>36</v>
      </c>
    </row>
    <row r="220" spans="1:7" hidden="1" x14ac:dyDescent="0.25">
      <c r="A220" t="s">
        <v>290</v>
      </c>
      <c r="B220" t="s">
        <v>291</v>
      </c>
      <c r="C220" t="s">
        <v>292</v>
      </c>
      <c r="D220" t="s">
        <v>77</v>
      </c>
      <c r="E220" t="s">
        <v>315</v>
      </c>
      <c r="F220" t="s">
        <v>36</v>
      </c>
    </row>
    <row r="221" spans="1:7" hidden="1" x14ac:dyDescent="0.25">
      <c r="A221" t="s">
        <v>290</v>
      </c>
      <c r="B221" t="s">
        <v>291</v>
      </c>
      <c r="C221" t="s">
        <v>292</v>
      </c>
      <c r="D221" t="s">
        <v>81</v>
      </c>
      <c r="E221" t="s">
        <v>316</v>
      </c>
      <c r="F221" t="s">
        <v>36</v>
      </c>
      <c r="G221" t="s">
        <v>317</v>
      </c>
    </row>
    <row r="222" spans="1:7" hidden="1" x14ac:dyDescent="0.25">
      <c r="A222" t="s">
        <v>290</v>
      </c>
      <c r="B222" t="s">
        <v>291</v>
      </c>
      <c r="C222" t="s">
        <v>292</v>
      </c>
      <c r="E222" t="s">
        <v>84</v>
      </c>
      <c r="F222" t="s">
        <v>79</v>
      </c>
      <c r="G222" t="s">
        <v>85</v>
      </c>
    </row>
    <row r="223" spans="1:7" hidden="1" x14ac:dyDescent="0.25">
      <c r="A223" t="s">
        <v>290</v>
      </c>
      <c r="B223" t="s">
        <v>291</v>
      </c>
      <c r="C223" t="s">
        <v>318</v>
      </c>
      <c r="D223" t="s">
        <v>293</v>
      </c>
      <c r="E223" t="s">
        <v>294</v>
      </c>
      <c r="F223" t="s">
        <v>36</v>
      </c>
    </row>
    <row r="224" spans="1:7" hidden="1" x14ac:dyDescent="0.25">
      <c r="A224" t="s">
        <v>290</v>
      </c>
      <c r="B224" t="s">
        <v>291</v>
      </c>
      <c r="C224" t="s">
        <v>318</v>
      </c>
      <c r="D224" t="s">
        <v>88</v>
      </c>
      <c r="E224" t="s">
        <v>89</v>
      </c>
      <c r="F224" t="s">
        <v>36</v>
      </c>
    </row>
    <row r="225" spans="1:6" hidden="1" x14ac:dyDescent="0.25">
      <c r="A225" t="s">
        <v>290</v>
      </c>
      <c r="B225" t="s">
        <v>291</v>
      </c>
      <c r="C225" t="s">
        <v>318</v>
      </c>
      <c r="D225" t="s">
        <v>319</v>
      </c>
      <c r="E225" t="s">
        <v>92</v>
      </c>
      <c r="F225" t="s">
        <v>36</v>
      </c>
    </row>
    <row r="226" spans="1:6" hidden="1" x14ac:dyDescent="0.25">
      <c r="A226" t="s">
        <v>290</v>
      </c>
      <c r="B226" t="s">
        <v>291</v>
      </c>
      <c r="C226" t="s">
        <v>318</v>
      </c>
      <c r="D226" t="s">
        <v>97</v>
      </c>
      <c r="E226" t="s">
        <v>95</v>
      </c>
      <c r="F226" t="s">
        <v>36</v>
      </c>
    </row>
    <row r="227" spans="1:6" hidden="1" x14ac:dyDescent="0.25">
      <c r="A227" t="s">
        <v>290</v>
      </c>
      <c r="B227" t="s">
        <v>291</v>
      </c>
      <c r="C227" t="s">
        <v>318</v>
      </c>
      <c r="D227" t="s">
        <v>102</v>
      </c>
      <c r="E227" t="s">
        <v>320</v>
      </c>
      <c r="F227" t="s">
        <v>36</v>
      </c>
    </row>
    <row r="228" spans="1:6" hidden="1" x14ac:dyDescent="0.25">
      <c r="A228" t="s">
        <v>290</v>
      </c>
      <c r="B228" t="s">
        <v>291</v>
      </c>
      <c r="C228" t="s">
        <v>318</v>
      </c>
      <c r="D228" t="s">
        <v>109</v>
      </c>
      <c r="E228" t="s">
        <v>321</v>
      </c>
      <c r="F228" t="s">
        <v>36</v>
      </c>
    </row>
    <row r="229" spans="1:6" hidden="1" x14ac:dyDescent="0.25">
      <c r="A229" t="s">
        <v>290</v>
      </c>
      <c r="B229" t="s">
        <v>291</v>
      </c>
      <c r="C229" t="s">
        <v>318</v>
      </c>
      <c r="D229" t="s">
        <v>322</v>
      </c>
      <c r="E229" t="s">
        <v>323</v>
      </c>
      <c r="F229" t="s">
        <v>324</v>
      </c>
    </row>
    <row r="230" spans="1:6" hidden="1" x14ac:dyDescent="0.25">
      <c r="A230" t="s">
        <v>290</v>
      </c>
      <c r="B230" t="s">
        <v>291</v>
      </c>
      <c r="C230" t="s">
        <v>318</v>
      </c>
      <c r="D230" t="s">
        <v>278</v>
      </c>
      <c r="E230" t="s">
        <v>325</v>
      </c>
      <c r="F230" t="s">
        <v>324</v>
      </c>
    </row>
    <row r="231" spans="1:6" hidden="1" x14ac:dyDescent="0.25">
      <c r="A231" t="s">
        <v>290</v>
      </c>
      <c r="B231" t="s">
        <v>291</v>
      </c>
      <c r="C231" t="s">
        <v>318</v>
      </c>
      <c r="D231" t="s">
        <v>115</v>
      </c>
      <c r="E231" t="s">
        <v>116</v>
      </c>
      <c r="F231" t="s">
        <v>36</v>
      </c>
    </row>
    <row r="232" spans="1:6" hidden="1" x14ac:dyDescent="0.25">
      <c r="A232" t="s">
        <v>290</v>
      </c>
      <c r="B232" t="s">
        <v>291</v>
      </c>
      <c r="C232" t="s">
        <v>318</v>
      </c>
      <c r="D232" t="s">
        <v>118</v>
      </c>
      <c r="E232" t="s">
        <v>119</v>
      </c>
      <c r="F232" t="s">
        <v>36</v>
      </c>
    </row>
    <row r="233" spans="1:6" hidden="1" x14ac:dyDescent="0.25">
      <c r="A233" t="s">
        <v>290</v>
      </c>
      <c r="B233" t="s">
        <v>291</v>
      </c>
      <c r="C233" t="s">
        <v>318</v>
      </c>
      <c r="D233" t="s">
        <v>121</v>
      </c>
      <c r="E233" t="s">
        <v>122</v>
      </c>
      <c r="F233" t="s">
        <v>36</v>
      </c>
    </row>
    <row r="234" spans="1:6" hidden="1" x14ac:dyDescent="0.25">
      <c r="A234" t="s">
        <v>290</v>
      </c>
      <c r="B234" t="s">
        <v>291</v>
      </c>
      <c r="C234" t="s">
        <v>318</v>
      </c>
      <c r="D234" t="s">
        <v>124</v>
      </c>
      <c r="E234" t="s">
        <v>326</v>
      </c>
      <c r="F234" t="s">
        <v>36</v>
      </c>
    </row>
    <row r="235" spans="1:6" hidden="1" x14ac:dyDescent="0.25">
      <c r="A235" t="s">
        <v>290</v>
      </c>
      <c r="B235" t="s">
        <v>291</v>
      </c>
      <c r="C235" t="s">
        <v>318</v>
      </c>
      <c r="D235" t="s">
        <v>129</v>
      </c>
      <c r="E235" t="s">
        <v>327</v>
      </c>
      <c r="F235" t="s">
        <v>36</v>
      </c>
    </row>
    <row r="236" spans="1:6" hidden="1" x14ac:dyDescent="0.25">
      <c r="A236" t="s">
        <v>290</v>
      </c>
      <c r="B236" t="s">
        <v>291</v>
      </c>
      <c r="C236" t="s">
        <v>318</v>
      </c>
      <c r="D236" t="s">
        <v>131</v>
      </c>
      <c r="E236" t="s">
        <v>328</v>
      </c>
      <c r="F236" t="s">
        <v>36</v>
      </c>
    </row>
    <row r="237" spans="1:6" hidden="1" x14ac:dyDescent="0.25">
      <c r="A237" t="s">
        <v>290</v>
      </c>
      <c r="B237" t="s">
        <v>291</v>
      </c>
      <c r="C237" t="s">
        <v>318</v>
      </c>
      <c r="D237" t="s">
        <v>329</v>
      </c>
      <c r="E237" t="s">
        <v>330</v>
      </c>
      <c r="F237" t="s">
        <v>36</v>
      </c>
    </row>
    <row r="238" spans="1:6" hidden="1" x14ac:dyDescent="0.25">
      <c r="A238" t="s">
        <v>290</v>
      </c>
      <c r="B238" t="s">
        <v>291</v>
      </c>
      <c r="C238" t="s">
        <v>318</v>
      </c>
      <c r="D238" t="s">
        <v>331</v>
      </c>
      <c r="E238" t="s">
        <v>332</v>
      </c>
      <c r="F238" t="s">
        <v>36</v>
      </c>
    </row>
    <row r="239" spans="1:6" hidden="1" x14ac:dyDescent="0.25">
      <c r="A239" t="s">
        <v>290</v>
      </c>
      <c r="B239" t="s">
        <v>291</v>
      </c>
      <c r="C239" t="s">
        <v>318</v>
      </c>
      <c r="D239" t="s">
        <v>136</v>
      </c>
      <c r="E239" t="s">
        <v>333</v>
      </c>
      <c r="F239" t="s">
        <v>306</v>
      </c>
    </row>
    <row r="240" spans="1:6" hidden="1" x14ac:dyDescent="0.25">
      <c r="A240" t="s">
        <v>290</v>
      </c>
      <c r="B240" t="s">
        <v>291</v>
      </c>
      <c r="C240" t="s">
        <v>318</v>
      </c>
      <c r="D240" t="s">
        <v>334</v>
      </c>
      <c r="E240" t="s">
        <v>335</v>
      </c>
      <c r="F240" t="s">
        <v>306</v>
      </c>
    </row>
    <row r="241" spans="1:7" hidden="1" x14ac:dyDescent="0.25">
      <c r="A241" t="s">
        <v>290</v>
      </c>
      <c r="B241" t="s">
        <v>291</v>
      </c>
      <c r="C241" t="s">
        <v>318</v>
      </c>
      <c r="D241" t="s">
        <v>139</v>
      </c>
      <c r="E241" t="s">
        <v>336</v>
      </c>
      <c r="F241" t="s">
        <v>306</v>
      </c>
    </row>
    <row r="242" spans="1:7" hidden="1" x14ac:dyDescent="0.25">
      <c r="A242" t="s">
        <v>290</v>
      </c>
      <c r="B242" t="s">
        <v>291</v>
      </c>
      <c r="C242" t="s">
        <v>318</v>
      </c>
      <c r="D242" t="s">
        <v>337</v>
      </c>
      <c r="E242" t="s">
        <v>338</v>
      </c>
      <c r="F242" t="s">
        <v>36</v>
      </c>
    </row>
    <row r="243" spans="1:7" hidden="1" x14ac:dyDescent="0.25">
      <c r="A243" t="s">
        <v>290</v>
      </c>
      <c r="B243" t="s">
        <v>291</v>
      </c>
      <c r="C243" t="s">
        <v>318</v>
      </c>
      <c r="D243" t="s">
        <v>339</v>
      </c>
      <c r="E243" t="s">
        <v>340</v>
      </c>
      <c r="F243" t="s">
        <v>306</v>
      </c>
    </row>
    <row r="244" spans="1:7" hidden="1" x14ac:dyDescent="0.25">
      <c r="A244" t="s">
        <v>290</v>
      </c>
      <c r="B244" t="s">
        <v>291</v>
      </c>
      <c r="C244" t="s">
        <v>318</v>
      </c>
      <c r="D244" t="s">
        <v>341</v>
      </c>
      <c r="E244" t="s">
        <v>342</v>
      </c>
      <c r="F244" t="s">
        <v>36</v>
      </c>
    </row>
    <row r="245" spans="1:7" hidden="1" x14ac:dyDescent="0.25">
      <c r="A245" t="s">
        <v>290</v>
      </c>
      <c r="B245" t="s">
        <v>291</v>
      </c>
      <c r="C245" t="s">
        <v>318</v>
      </c>
      <c r="D245" t="s">
        <v>343</v>
      </c>
      <c r="E245" t="s">
        <v>132</v>
      </c>
      <c r="F245" t="s">
        <v>306</v>
      </c>
    </row>
    <row r="246" spans="1:7" hidden="1" x14ac:dyDescent="0.25">
      <c r="A246" t="s">
        <v>290</v>
      </c>
      <c r="B246" t="s">
        <v>291</v>
      </c>
      <c r="C246" t="s">
        <v>318</v>
      </c>
      <c r="D246" t="s">
        <v>344</v>
      </c>
      <c r="E246" t="s">
        <v>345</v>
      </c>
      <c r="F246" t="s">
        <v>306</v>
      </c>
    </row>
    <row r="247" spans="1:7" hidden="1" x14ac:dyDescent="0.25">
      <c r="A247" t="s">
        <v>290</v>
      </c>
      <c r="B247" t="s">
        <v>291</v>
      </c>
      <c r="C247" t="s">
        <v>346</v>
      </c>
      <c r="D247" t="s">
        <v>293</v>
      </c>
      <c r="E247" t="s">
        <v>294</v>
      </c>
      <c r="F247" t="s">
        <v>36</v>
      </c>
      <c r="G247" t="s">
        <v>40</v>
      </c>
    </row>
    <row r="248" spans="1:7" hidden="1" x14ac:dyDescent="0.25">
      <c r="A248" t="s">
        <v>290</v>
      </c>
      <c r="B248" t="s">
        <v>291</v>
      </c>
      <c r="C248" t="s">
        <v>346</v>
      </c>
      <c r="D248" t="s">
        <v>88</v>
      </c>
      <c r="E248" t="s">
        <v>89</v>
      </c>
      <c r="F248" t="s">
        <v>36</v>
      </c>
      <c r="G248" t="s">
        <v>90</v>
      </c>
    </row>
    <row r="249" spans="1:7" hidden="1" x14ac:dyDescent="0.25">
      <c r="A249" t="s">
        <v>290</v>
      </c>
      <c r="B249" t="s">
        <v>291</v>
      </c>
      <c r="C249" t="s">
        <v>346</v>
      </c>
      <c r="D249" t="s">
        <v>347</v>
      </c>
      <c r="E249" t="s">
        <v>348</v>
      </c>
      <c r="F249" t="s">
        <v>306</v>
      </c>
      <c r="G249" t="s">
        <v>160</v>
      </c>
    </row>
    <row r="250" spans="1:7" hidden="1" x14ac:dyDescent="0.25">
      <c r="A250" t="s">
        <v>290</v>
      </c>
      <c r="B250" t="s">
        <v>291</v>
      </c>
      <c r="C250" t="s">
        <v>346</v>
      </c>
      <c r="D250" t="s">
        <v>146</v>
      </c>
      <c r="E250" t="s">
        <v>349</v>
      </c>
      <c r="F250" t="s">
        <v>306</v>
      </c>
      <c r="G250" t="s">
        <v>163</v>
      </c>
    </row>
    <row r="251" spans="1:7" hidden="1" x14ac:dyDescent="0.25">
      <c r="A251" t="s">
        <v>290</v>
      </c>
      <c r="B251" t="s">
        <v>291</v>
      </c>
      <c r="C251" t="s">
        <v>346</v>
      </c>
      <c r="D251" t="s">
        <v>149</v>
      </c>
      <c r="E251" t="s">
        <v>350</v>
      </c>
      <c r="F251" t="s">
        <v>306</v>
      </c>
      <c r="G251" t="s">
        <v>351</v>
      </c>
    </row>
    <row r="252" spans="1:7" hidden="1" x14ac:dyDescent="0.25">
      <c r="A252" t="s">
        <v>290</v>
      </c>
      <c r="B252" t="s">
        <v>291</v>
      </c>
      <c r="C252" t="s">
        <v>346</v>
      </c>
      <c r="D252" t="s">
        <v>352</v>
      </c>
      <c r="E252" t="s">
        <v>144</v>
      </c>
      <c r="F252" t="s">
        <v>36</v>
      </c>
      <c r="G252" t="s">
        <v>353</v>
      </c>
    </row>
    <row r="253" spans="1:7" hidden="1" x14ac:dyDescent="0.25">
      <c r="A253" t="s">
        <v>290</v>
      </c>
      <c r="B253" t="s">
        <v>291</v>
      </c>
      <c r="C253" t="s">
        <v>346</v>
      </c>
      <c r="D253" t="s">
        <v>155</v>
      </c>
      <c r="E253" t="s">
        <v>147</v>
      </c>
      <c r="F253" t="s">
        <v>36</v>
      </c>
      <c r="G253" t="s">
        <v>148</v>
      </c>
    </row>
    <row r="254" spans="1:7" hidden="1" x14ac:dyDescent="0.25">
      <c r="A254" t="s">
        <v>290</v>
      </c>
      <c r="B254" t="s">
        <v>291</v>
      </c>
      <c r="C254" t="s">
        <v>346</v>
      </c>
      <c r="D254" t="s">
        <v>158</v>
      </c>
      <c r="E254" t="s">
        <v>280</v>
      </c>
      <c r="F254" t="s">
        <v>36</v>
      </c>
      <c r="G254" t="s">
        <v>151</v>
      </c>
    </row>
    <row r="255" spans="1:7" hidden="1" x14ac:dyDescent="0.25">
      <c r="A255" t="s">
        <v>290</v>
      </c>
      <c r="B255" t="s">
        <v>291</v>
      </c>
      <c r="C255" t="s">
        <v>346</v>
      </c>
      <c r="D255" t="s">
        <v>161</v>
      </c>
      <c r="E255" t="s">
        <v>354</v>
      </c>
      <c r="F255" t="s">
        <v>36</v>
      </c>
      <c r="G255">
        <v>0</v>
      </c>
    </row>
    <row r="256" spans="1:7" hidden="1" x14ac:dyDescent="0.25">
      <c r="A256" t="s">
        <v>290</v>
      </c>
      <c r="B256" t="s">
        <v>291</v>
      </c>
      <c r="C256" t="s">
        <v>346</v>
      </c>
      <c r="D256" t="s">
        <v>355</v>
      </c>
      <c r="E256" t="s">
        <v>356</v>
      </c>
      <c r="F256" t="s">
        <v>36</v>
      </c>
      <c r="G256" t="s">
        <v>357</v>
      </c>
    </row>
    <row r="257" spans="1:7" hidden="1" x14ac:dyDescent="0.25">
      <c r="A257" t="s">
        <v>290</v>
      </c>
      <c r="B257" t="s">
        <v>291</v>
      </c>
      <c r="C257" t="s">
        <v>346</v>
      </c>
      <c r="D257" t="s">
        <v>358</v>
      </c>
      <c r="E257" t="s">
        <v>359</v>
      </c>
      <c r="F257" t="s">
        <v>306</v>
      </c>
      <c r="G257" t="s">
        <v>85</v>
      </c>
    </row>
    <row r="258" spans="1:7" hidden="1" x14ac:dyDescent="0.25">
      <c r="A258" t="s">
        <v>290</v>
      </c>
      <c r="B258" t="s">
        <v>291</v>
      </c>
      <c r="C258" t="s">
        <v>346</v>
      </c>
      <c r="D258" t="s">
        <v>360</v>
      </c>
      <c r="E258" t="s">
        <v>153</v>
      </c>
      <c r="F258" t="s">
        <v>36</v>
      </c>
      <c r="G258" t="s">
        <v>252</v>
      </c>
    </row>
    <row r="259" spans="1:7" hidden="1" x14ac:dyDescent="0.25">
      <c r="A259" t="s">
        <v>290</v>
      </c>
      <c r="B259" t="s">
        <v>291</v>
      </c>
      <c r="C259" t="s">
        <v>346</v>
      </c>
      <c r="D259" t="s">
        <v>361</v>
      </c>
      <c r="E259" t="s">
        <v>362</v>
      </c>
      <c r="F259" t="s">
        <v>306</v>
      </c>
      <c r="G259" t="s">
        <v>157</v>
      </c>
    </row>
    <row r="260" spans="1:7" hidden="1" x14ac:dyDescent="0.25">
      <c r="A260" t="s">
        <v>290</v>
      </c>
      <c r="B260" t="s">
        <v>291</v>
      </c>
      <c r="C260" t="s">
        <v>346</v>
      </c>
      <c r="D260" t="s">
        <v>363</v>
      </c>
      <c r="E260" t="s">
        <v>364</v>
      </c>
      <c r="F260" t="s">
        <v>365</v>
      </c>
      <c r="G260" t="s">
        <v>85</v>
      </c>
    </row>
    <row r="261" spans="1:7" hidden="1" x14ac:dyDescent="0.25">
      <c r="A261" t="s">
        <v>290</v>
      </c>
      <c r="B261" t="s">
        <v>291</v>
      </c>
      <c r="C261" t="s">
        <v>346</v>
      </c>
      <c r="D261" t="s">
        <v>366</v>
      </c>
      <c r="E261" t="s">
        <v>367</v>
      </c>
      <c r="F261" t="s">
        <v>365</v>
      </c>
      <c r="G261" t="s">
        <v>85</v>
      </c>
    </row>
    <row r="262" spans="1:7" hidden="1" x14ac:dyDescent="0.25">
      <c r="A262" t="s">
        <v>290</v>
      </c>
      <c r="B262" t="s">
        <v>291</v>
      </c>
      <c r="C262" t="s">
        <v>346</v>
      </c>
      <c r="D262" t="s">
        <v>368</v>
      </c>
      <c r="E262" t="s">
        <v>369</v>
      </c>
      <c r="F262" t="s">
        <v>36</v>
      </c>
      <c r="G262" t="s">
        <v>370</v>
      </c>
    </row>
    <row r="263" spans="1:7" hidden="1" x14ac:dyDescent="0.25">
      <c r="A263" t="s">
        <v>290</v>
      </c>
      <c r="B263" t="s">
        <v>291</v>
      </c>
      <c r="C263" t="s">
        <v>371</v>
      </c>
      <c r="D263" t="s">
        <v>293</v>
      </c>
      <c r="E263" t="s">
        <v>294</v>
      </c>
      <c r="F263" t="s">
        <v>36</v>
      </c>
      <c r="G263" t="s">
        <v>37</v>
      </c>
    </row>
    <row r="264" spans="1:7" hidden="1" x14ac:dyDescent="0.25">
      <c r="A264" t="s">
        <v>290</v>
      </c>
      <c r="B264" t="s">
        <v>291</v>
      </c>
      <c r="C264" t="s">
        <v>371</v>
      </c>
      <c r="D264" t="s">
        <v>88</v>
      </c>
      <c r="E264" t="s">
        <v>89</v>
      </c>
      <c r="F264" t="s">
        <v>36</v>
      </c>
      <c r="G264" t="s">
        <v>90</v>
      </c>
    </row>
    <row r="265" spans="1:7" hidden="1" x14ac:dyDescent="0.25">
      <c r="A265" t="s">
        <v>290</v>
      </c>
      <c r="B265" t="s">
        <v>291</v>
      </c>
      <c r="C265" t="s">
        <v>371</v>
      </c>
      <c r="D265" t="s">
        <v>166</v>
      </c>
      <c r="E265" t="s">
        <v>167</v>
      </c>
      <c r="F265" t="s">
        <v>36</v>
      </c>
      <c r="G265" t="s">
        <v>168</v>
      </c>
    </row>
    <row r="266" spans="1:7" hidden="1" x14ac:dyDescent="0.25">
      <c r="A266" t="s">
        <v>290</v>
      </c>
      <c r="B266" t="s">
        <v>291</v>
      </c>
      <c r="C266" t="s">
        <v>372</v>
      </c>
      <c r="D266" t="s">
        <v>293</v>
      </c>
      <c r="E266" t="s">
        <v>294</v>
      </c>
      <c r="F266" t="s">
        <v>36</v>
      </c>
      <c r="G266" t="s">
        <v>40</v>
      </c>
    </row>
    <row r="267" spans="1:7" hidden="1" x14ac:dyDescent="0.25">
      <c r="A267" t="s">
        <v>290</v>
      </c>
      <c r="B267" t="s">
        <v>291</v>
      </c>
      <c r="C267" t="s">
        <v>372</v>
      </c>
      <c r="D267" t="s">
        <v>88</v>
      </c>
      <c r="E267" t="s">
        <v>89</v>
      </c>
      <c r="F267" t="s">
        <v>36</v>
      </c>
      <c r="G267" t="s">
        <v>90</v>
      </c>
    </row>
    <row r="268" spans="1:7" hidden="1" x14ac:dyDescent="0.25">
      <c r="A268" t="s">
        <v>290</v>
      </c>
      <c r="B268" t="s">
        <v>291</v>
      </c>
      <c r="C268" t="s">
        <v>372</v>
      </c>
      <c r="D268" t="s">
        <v>170</v>
      </c>
      <c r="E268" t="s">
        <v>171</v>
      </c>
      <c r="F268" t="s">
        <v>36</v>
      </c>
    </row>
    <row r="269" spans="1:7" hidden="1" x14ac:dyDescent="0.25">
      <c r="A269" t="s">
        <v>290</v>
      </c>
      <c r="B269" t="s">
        <v>291</v>
      </c>
      <c r="C269" t="s">
        <v>372</v>
      </c>
      <c r="D269" t="s">
        <v>172</v>
      </c>
      <c r="E269" t="s">
        <v>173</v>
      </c>
      <c r="F269" t="s">
        <v>36</v>
      </c>
    </row>
    <row r="270" spans="1:7" hidden="1" x14ac:dyDescent="0.25">
      <c r="A270" t="s">
        <v>290</v>
      </c>
      <c r="B270" t="s">
        <v>291</v>
      </c>
      <c r="C270" t="s">
        <v>372</v>
      </c>
      <c r="D270" t="s">
        <v>174</v>
      </c>
      <c r="E270" t="s">
        <v>175</v>
      </c>
      <c r="F270" t="s">
        <v>36</v>
      </c>
    </row>
    <row r="271" spans="1:7" x14ac:dyDescent="0.25">
      <c r="A271" t="s">
        <v>290</v>
      </c>
      <c r="B271" t="s">
        <v>291</v>
      </c>
      <c r="C271" t="s">
        <v>373</v>
      </c>
      <c r="D271" t="s">
        <v>293</v>
      </c>
      <c r="E271" t="s">
        <v>294</v>
      </c>
      <c r="F271" t="s">
        <v>36</v>
      </c>
      <c r="G271" t="s">
        <v>4</v>
      </c>
    </row>
    <row r="272" spans="1:7" x14ac:dyDescent="0.25">
      <c r="A272" t="s">
        <v>290</v>
      </c>
      <c r="B272" t="s">
        <v>291</v>
      </c>
      <c r="C272" t="s">
        <v>373</v>
      </c>
      <c r="D272" t="s">
        <v>88</v>
      </c>
      <c r="E272" t="s">
        <v>89</v>
      </c>
      <c r="F272" t="s">
        <v>36</v>
      </c>
      <c r="G272" t="s">
        <v>5</v>
      </c>
    </row>
    <row r="273" spans="1:7" x14ac:dyDescent="0.25">
      <c r="A273" t="s">
        <v>290</v>
      </c>
      <c r="B273" t="s">
        <v>291</v>
      </c>
      <c r="C273" t="s">
        <v>373</v>
      </c>
      <c r="D273" t="s">
        <v>293</v>
      </c>
      <c r="E273" t="s">
        <v>374</v>
      </c>
      <c r="F273" t="s">
        <v>36</v>
      </c>
      <c r="G273" t="s">
        <v>4</v>
      </c>
    </row>
    <row r="274" spans="1:7" x14ac:dyDescent="0.25">
      <c r="A274" t="s">
        <v>290</v>
      </c>
      <c r="B274" t="s">
        <v>291</v>
      </c>
      <c r="C274" t="s">
        <v>373</v>
      </c>
      <c r="D274" t="s">
        <v>88</v>
      </c>
      <c r="E274" t="s">
        <v>15</v>
      </c>
      <c r="F274" t="s">
        <v>36</v>
      </c>
      <c r="G274" t="s">
        <v>7</v>
      </c>
    </row>
    <row r="275" spans="1:7" x14ac:dyDescent="0.25">
      <c r="A275" t="s">
        <v>290</v>
      </c>
      <c r="B275" t="s">
        <v>291</v>
      </c>
      <c r="C275" t="s">
        <v>373</v>
      </c>
      <c r="D275" t="s">
        <v>303</v>
      </c>
      <c r="E275" t="s">
        <v>57</v>
      </c>
      <c r="F275" t="s">
        <v>36</v>
      </c>
    </row>
    <row r="276" spans="1:7" x14ac:dyDescent="0.25">
      <c r="A276" t="s">
        <v>290</v>
      </c>
      <c r="B276" t="s">
        <v>291</v>
      </c>
      <c r="C276" t="s">
        <v>373</v>
      </c>
      <c r="D276" t="s">
        <v>109</v>
      </c>
      <c r="E276" t="s">
        <v>16</v>
      </c>
      <c r="F276" t="s">
        <v>36</v>
      </c>
    </row>
    <row r="277" spans="1:7" x14ac:dyDescent="0.25">
      <c r="A277" t="s">
        <v>290</v>
      </c>
      <c r="B277" t="s">
        <v>291</v>
      </c>
      <c r="C277" t="s">
        <v>373</v>
      </c>
      <c r="D277" t="s">
        <v>115</v>
      </c>
      <c r="E277" t="s">
        <v>179</v>
      </c>
      <c r="F277" t="s">
        <v>36</v>
      </c>
      <c r="G277" t="s">
        <v>180</v>
      </c>
    </row>
    <row r="278" spans="1:7" x14ac:dyDescent="0.25">
      <c r="A278" t="s">
        <v>290</v>
      </c>
      <c r="B278" t="s">
        <v>291</v>
      </c>
      <c r="C278" t="s">
        <v>373</v>
      </c>
      <c r="D278" t="s">
        <v>121</v>
      </c>
      <c r="E278" t="s">
        <v>20</v>
      </c>
      <c r="F278" t="s">
        <v>36</v>
      </c>
    </row>
    <row r="279" spans="1:7" x14ac:dyDescent="0.25">
      <c r="A279" t="s">
        <v>290</v>
      </c>
      <c r="B279" t="s">
        <v>291</v>
      </c>
      <c r="C279" t="s">
        <v>373</v>
      </c>
      <c r="D279" t="s">
        <v>129</v>
      </c>
      <c r="E279" t="s">
        <v>18</v>
      </c>
      <c r="F279" t="s">
        <v>36</v>
      </c>
      <c r="G279" t="s">
        <v>182</v>
      </c>
    </row>
    <row r="280" spans="1:7" x14ac:dyDescent="0.25">
      <c r="A280" t="s">
        <v>290</v>
      </c>
      <c r="B280" t="s">
        <v>291</v>
      </c>
      <c r="C280" t="s">
        <v>373</v>
      </c>
      <c r="D280" t="s">
        <v>288</v>
      </c>
      <c r="E280" t="s">
        <v>127</v>
      </c>
      <c r="F280" t="s">
        <v>36</v>
      </c>
      <c r="G280" t="s">
        <v>183</v>
      </c>
    </row>
    <row r="281" spans="1:7" x14ac:dyDescent="0.25">
      <c r="A281" t="s">
        <v>290</v>
      </c>
      <c r="B281" t="s">
        <v>291</v>
      </c>
      <c r="C281" t="s">
        <v>373</v>
      </c>
      <c r="D281" t="s">
        <v>289</v>
      </c>
      <c r="E281" t="s">
        <v>20</v>
      </c>
      <c r="F281" t="s">
        <v>36</v>
      </c>
    </row>
    <row r="282" spans="1:7" hidden="1" x14ac:dyDescent="0.25">
      <c r="A282" t="s">
        <v>375</v>
      </c>
      <c r="B282" t="s">
        <v>376</v>
      </c>
      <c r="C282" t="s">
        <v>377</v>
      </c>
      <c r="D282" t="s">
        <v>293</v>
      </c>
      <c r="E282" t="s">
        <v>294</v>
      </c>
      <c r="F282" t="s">
        <v>36</v>
      </c>
      <c r="G282" t="s">
        <v>40</v>
      </c>
    </row>
    <row r="283" spans="1:7" hidden="1" x14ac:dyDescent="0.25">
      <c r="A283" t="s">
        <v>375</v>
      </c>
      <c r="B283" t="s">
        <v>376</v>
      </c>
      <c r="C283" t="s">
        <v>377</v>
      </c>
      <c r="D283" t="s">
        <v>295</v>
      </c>
      <c r="E283" t="s">
        <v>296</v>
      </c>
      <c r="F283" t="s">
        <v>36</v>
      </c>
      <c r="G283" t="s">
        <v>297</v>
      </c>
    </row>
    <row r="284" spans="1:7" hidden="1" x14ac:dyDescent="0.25">
      <c r="A284" t="s">
        <v>375</v>
      </c>
      <c r="B284" t="s">
        <v>376</v>
      </c>
      <c r="C284" t="s">
        <v>377</v>
      </c>
      <c r="D284" t="s">
        <v>298</v>
      </c>
      <c r="E284" t="s">
        <v>299</v>
      </c>
      <c r="F284" t="s">
        <v>36</v>
      </c>
      <c r="G284" t="s">
        <v>300</v>
      </c>
    </row>
    <row r="285" spans="1:7" hidden="1" x14ac:dyDescent="0.25">
      <c r="A285" t="s">
        <v>375</v>
      </c>
      <c r="B285" t="s">
        <v>376</v>
      </c>
      <c r="C285" t="s">
        <v>377</v>
      </c>
      <c r="D285" t="s">
        <v>301</v>
      </c>
      <c r="E285" t="s">
        <v>48</v>
      </c>
      <c r="F285" t="s">
        <v>36</v>
      </c>
      <c r="G285" t="s">
        <v>49</v>
      </c>
    </row>
    <row r="286" spans="1:7" hidden="1" x14ac:dyDescent="0.25">
      <c r="A286" t="s">
        <v>375</v>
      </c>
      <c r="B286" t="s">
        <v>376</v>
      </c>
      <c r="C286" t="s">
        <v>377</v>
      </c>
      <c r="D286" t="s">
        <v>302</v>
      </c>
      <c r="E286" t="s">
        <v>54</v>
      </c>
      <c r="F286" t="s">
        <v>36</v>
      </c>
      <c r="G286" t="s">
        <v>272</v>
      </c>
    </row>
    <row r="287" spans="1:7" hidden="1" x14ac:dyDescent="0.25">
      <c r="A287" t="s">
        <v>375</v>
      </c>
      <c r="B287" t="s">
        <v>376</v>
      </c>
      <c r="C287" t="s">
        <v>377</v>
      </c>
      <c r="D287" t="s">
        <v>303</v>
      </c>
      <c r="E287" t="s">
        <v>57</v>
      </c>
      <c r="F287" t="s">
        <v>36</v>
      </c>
      <c r="G287" t="s">
        <v>209</v>
      </c>
    </row>
    <row r="288" spans="1:7" hidden="1" x14ac:dyDescent="0.25">
      <c r="A288" t="s">
        <v>375</v>
      </c>
      <c r="B288" t="s">
        <v>376</v>
      </c>
      <c r="C288" t="s">
        <v>377</v>
      </c>
      <c r="D288" t="s">
        <v>304</v>
      </c>
      <c r="E288" t="s">
        <v>305</v>
      </c>
      <c r="F288" t="s">
        <v>306</v>
      </c>
      <c r="G288" t="s">
        <v>61</v>
      </c>
    </row>
    <row r="289" spans="1:7" hidden="1" x14ac:dyDescent="0.25">
      <c r="A289" t="s">
        <v>375</v>
      </c>
      <c r="B289" t="s">
        <v>376</v>
      </c>
      <c r="C289" t="s">
        <v>377</v>
      </c>
      <c r="D289" t="s">
        <v>307</v>
      </c>
      <c r="E289" t="s">
        <v>63</v>
      </c>
      <c r="F289" t="s">
        <v>306</v>
      </c>
      <c r="G289" t="s">
        <v>64</v>
      </c>
    </row>
    <row r="290" spans="1:7" hidden="1" x14ac:dyDescent="0.25">
      <c r="A290" t="s">
        <v>375</v>
      </c>
      <c r="B290" t="s">
        <v>376</v>
      </c>
      <c r="C290" t="s">
        <v>377</v>
      </c>
      <c r="D290" t="s">
        <v>308</v>
      </c>
      <c r="E290" t="s">
        <v>66</v>
      </c>
      <c r="F290" t="s">
        <v>306</v>
      </c>
      <c r="G290" t="s">
        <v>67</v>
      </c>
    </row>
    <row r="291" spans="1:7" hidden="1" x14ac:dyDescent="0.25">
      <c r="A291" t="s">
        <v>375</v>
      </c>
      <c r="B291" t="s">
        <v>376</v>
      </c>
      <c r="C291" t="s">
        <v>377</v>
      </c>
      <c r="D291" t="s">
        <v>309</v>
      </c>
      <c r="E291" t="s">
        <v>310</v>
      </c>
      <c r="F291" t="s">
        <v>306</v>
      </c>
      <c r="G291" t="s">
        <v>70</v>
      </c>
    </row>
    <row r="292" spans="1:7" hidden="1" x14ac:dyDescent="0.25">
      <c r="A292" t="s">
        <v>375</v>
      </c>
      <c r="B292" t="s">
        <v>376</v>
      </c>
      <c r="C292" t="s">
        <v>377</v>
      </c>
      <c r="D292" t="s">
        <v>311</v>
      </c>
      <c r="E292" t="s">
        <v>312</v>
      </c>
      <c r="F292" t="s">
        <v>306</v>
      </c>
      <c r="G292" t="s">
        <v>73</v>
      </c>
    </row>
    <row r="293" spans="1:7" hidden="1" x14ac:dyDescent="0.25">
      <c r="A293" t="s">
        <v>375</v>
      </c>
      <c r="B293" t="s">
        <v>376</v>
      </c>
      <c r="C293" t="s">
        <v>377</v>
      </c>
      <c r="D293" t="s">
        <v>71</v>
      </c>
      <c r="E293" t="s">
        <v>313</v>
      </c>
      <c r="F293" t="s">
        <v>306</v>
      </c>
      <c r="G293" t="s">
        <v>216</v>
      </c>
    </row>
    <row r="294" spans="1:7" hidden="1" x14ac:dyDescent="0.25">
      <c r="A294" t="s">
        <v>375</v>
      </c>
      <c r="B294" t="s">
        <v>376</v>
      </c>
      <c r="C294" t="s">
        <v>377</v>
      </c>
      <c r="D294" t="s">
        <v>74</v>
      </c>
      <c r="E294" t="s">
        <v>314</v>
      </c>
      <c r="F294" t="s">
        <v>36</v>
      </c>
    </row>
    <row r="295" spans="1:7" hidden="1" x14ac:dyDescent="0.25">
      <c r="A295" t="s">
        <v>375</v>
      </c>
      <c r="B295" t="s">
        <v>376</v>
      </c>
      <c r="C295" t="s">
        <v>377</v>
      </c>
      <c r="D295" t="s">
        <v>77</v>
      </c>
      <c r="E295" t="s">
        <v>315</v>
      </c>
      <c r="F295" t="s">
        <v>36</v>
      </c>
    </row>
    <row r="296" spans="1:7" hidden="1" x14ac:dyDescent="0.25">
      <c r="A296" t="s">
        <v>375</v>
      </c>
      <c r="B296" t="s">
        <v>376</v>
      </c>
      <c r="C296" t="s">
        <v>377</v>
      </c>
      <c r="D296" t="s">
        <v>81</v>
      </c>
      <c r="E296" t="s">
        <v>316</v>
      </c>
      <c r="F296" t="s">
        <v>36</v>
      </c>
      <c r="G296" t="s">
        <v>378</v>
      </c>
    </row>
    <row r="297" spans="1:7" hidden="1" x14ac:dyDescent="0.25">
      <c r="A297" t="s">
        <v>375</v>
      </c>
      <c r="B297" t="s">
        <v>376</v>
      </c>
      <c r="C297" t="s">
        <v>377</v>
      </c>
      <c r="E297" t="s">
        <v>84</v>
      </c>
      <c r="F297" t="s">
        <v>79</v>
      </c>
      <c r="G297" t="s">
        <v>85</v>
      </c>
    </row>
    <row r="298" spans="1:7" hidden="1" x14ac:dyDescent="0.25">
      <c r="A298" t="s">
        <v>375</v>
      </c>
      <c r="B298" t="s">
        <v>376</v>
      </c>
      <c r="C298" t="s">
        <v>379</v>
      </c>
      <c r="D298" t="s">
        <v>293</v>
      </c>
      <c r="E298" t="s">
        <v>294</v>
      </c>
      <c r="F298" t="s">
        <v>36</v>
      </c>
    </row>
    <row r="299" spans="1:7" hidden="1" x14ac:dyDescent="0.25">
      <c r="A299" t="s">
        <v>375</v>
      </c>
      <c r="B299" t="s">
        <v>376</v>
      </c>
      <c r="C299" t="s">
        <v>379</v>
      </c>
      <c r="D299" t="s">
        <v>88</v>
      </c>
      <c r="E299" t="s">
        <v>89</v>
      </c>
      <c r="F299" t="s">
        <v>36</v>
      </c>
    </row>
    <row r="300" spans="1:7" hidden="1" x14ac:dyDescent="0.25">
      <c r="A300" t="s">
        <v>375</v>
      </c>
      <c r="B300" t="s">
        <v>376</v>
      </c>
      <c r="C300" t="s">
        <v>379</v>
      </c>
      <c r="D300" t="s">
        <v>319</v>
      </c>
      <c r="E300" t="s">
        <v>92</v>
      </c>
      <c r="F300" t="s">
        <v>36</v>
      </c>
    </row>
    <row r="301" spans="1:7" hidden="1" x14ac:dyDescent="0.25">
      <c r="A301" t="s">
        <v>375</v>
      </c>
      <c r="B301" t="s">
        <v>376</v>
      </c>
      <c r="C301" t="s">
        <v>379</v>
      </c>
      <c r="D301" t="s">
        <v>97</v>
      </c>
      <c r="E301" t="s">
        <v>95</v>
      </c>
      <c r="F301" t="s">
        <v>36</v>
      </c>
    </row>
    <row r="302" spans="1:7" hidden="1" x14ac:dyDescent="0.25">
      <c r="A302" t="s">
        <v>375</v>
      </c>
      <c r="B302" t="s">
        <v>376</v>
      </c>
      <c r="C302" t="s">
        <v>379</v>
      </c>
      <c r="D302" t="s">
        <v>102</v>
      </c>
      <c r="E302" t="s">
        <v>320</v>
      </c>
      <c r="F302" t="s">
        <v>36</v>
      </c>
    </row>
    <row r="303" spans="1:7" hidden="1" x14ac:dyDescent="0.25">
      <c r="A303" t="s">
        <v>375</v>
      </c>
      <c r="B303" t="s">
        <v>376</v>
      </c>
      <c r="C303" t="s">
        <v>379</v>
      </c>
      <c r="D303" t="s">
        <v>109</v>
      </c>
      <c r="E303" t="s">
        <v>321</v>
      </c>
      <c r="F303" t="s">
        <v>36</v>
      </c>
    </row>
    <row r="304" spans="1:7" hidden="1" x14ac:dyDescent="0.25">
      <c r="A304" t="s">
        <v>375</v>
      </c>
      <c r="B304" t="s">
        <v>376</v>
      </c>
      <c r="C304" t="s">
        <v>379</v>
      </c>
      <c r="D304" t="s">
        <v>322</v>
      </c>
      <c r="E304" t="s">
        <v>323</v>
      </c>
      <c r="F304" t="s">
        <v>324</v>
      </c>
    </row>
    <row r="305" spans="1:6" hidden="1" x14ac:dyDescent="0.25">
      <c r="A305" t="s">
        <v>375</v>
      </c>
      <c r="B305" t="s">
        <v>376</v>
      </c>
      <c r="C305" t="s">
        <v>379</v>
      </c>
      <c r="D305" t="s">
        <v>278</v>
      </c>
      <c r="E305" t="s">
        <v>325</v>
      </c>
      <c r="F305" t="s">
        <v>324</v>
      </c>
    </row>
    <row r="306" spans="1:6" hidden="1" x14ac:dyDescent="0.25">
      <c r="A306" t="s">
        <v>375</v>
      </c>
      <c r="B306" t="s">
        <v>376</v>
      </c>
      <c r="C306" t="s">
        <v>379</v>
      </c>
      <c r="D306" t="s">
        <v>115</v>
      </c>
      <c r="E306" t="s">
        <v>116</v>
      </c>
      <c r="F306" t="s">
        <v>36</v>
      </c>
    </row>
    <row r="307" spans="1:6" hidden="1" x14ac:dyDescent="0.25">
      <c r="A307" t="s">
        <v>375</v>
      </c>
      <c r="B307" t="s">
        <v>376</v>
      </c>
      <c r="C307" t="s">
        <v>379</v>
      </c>
      <c r="D307" t="s">
        <v>118</v>
      </c>
      <c r="E307" t="s">
        <v>119</v>
      </c>
      <c r="F307" t="s">
        <v>36</v>
      </c>
    </row>
    <row r="308" spans="1:6" hidden="1" x14ac:dyDescent="0.25">
      <c r="A308" t="s">
        <v>375</v>
      </c>
      <c r="B308" t="s">
        <v>376</v>
      </c>
      <c r="C308" t="s">
        <v>379</v>
      </c>
      <c r="D308" t="s">
        <v>121</v>
      </c>
      <c r="E308" t="s">
        <v>122</v>
      </c>
      <c r="F308" t="s">
        <v>36</v>
      </c>
    </row>
    <row r="309" spans="1:6" hidden="1" x14ac:dyDescent="0.25">
      <c r="A309" t="s">
        <v>375</v>
      </c>
      <c r="B309" t="s">
        <v>376</v>
      </c>
      <c r="C309" t="s">
        <v>379</v>
      </c>
      <c r="D309" t="s">
        <v>124</v>
      </c>
      <c r="E309" t="s">
        <v>326</v>
      </c>
      <c r="F309" t="s">
        <v>36</v>
      </c>
    </row>
    <row r="310" spans="1:6" hidden="1" x14ac:dyDescent="0.25">
      <c r="A310" t="s">
        <v>375</v>
      </c>
      <c r="B310" t="s">
        <v>376</v>
      </c>
      <c r="C310" t="s">
        <v>379</v>
      </c>
      <c r="D310" t="s">
        <v>129</v>
      </c>
      <c r="E310" t="s">
        <v>327</v>
      </c>
      <c r="F310" t="s">
        <v>36</v>
      </c>
    </row>
    <row r="311" spans="1:6" hidden="1" x14ac:dyDescent="0.25">
      <c r="A311" t="s">
        <v>375</v>
      </c>
      <c r="B311" t="s">
        <v>376</v>
      </c>
      <c r="C311" t="s">
        <v>379</v>
      </c>
      <c r="D311" t="s">
        <v>131</v>
      </c>
      <c r="E311" t="s">
        <v>328</v>
      </c>
      <c r="F311" t="s">
        <v>36</v>
      </c>
    </row>
    <row r="312" spans="1:6" hidden="1" x14ac:dyDescent="0.25">
      <c r="A312" t="s">
        <v>375</v>
      </c>
      <c r="B312" t="s">
        <v>376</v>
      </c>
      <c r="C312" t="s">
        <v>379</v>
      </c>
      <c r="D312" t="s">
        <v>329</v>
      </c>
      <c r="E312" t="s">
        <v>330</v>
      </c>
      <c r="F312" t="s">
        <v>36</v>
      </c>
    </row>
    <row r="313" spans="1:6" hidden="1" x14ac:dyDescent="0.25">
      <c r="A313" t="s">
        <v>375</v>
      </c>
      <c r="B313" t="s">
        <v>376</v>
      </c>
      <c r="C313" t="s">
        <v>379</v>
      </c>
      <c r="D313" t="s">
        <v>331</v>
      </c>
      <c r="E313" t="s">
        <v>332</v>
      </c>
      <c r="F313" t="s">
        <v>36</v>
      </c>
    </row>
    <row r="314" spans="1:6" hidden="1" x14ac:dyDescent="0.25">
      <c r="A314" t="s">
        <v>375</v>
      </c>
      <c r="B314" t="s">
        <v>376</v>
      </c>
      <c r="C314" t="s">
        <v>379</v>
      </c>
      <c r="D314" t="s">
        <v>136</v>
      </c>
      <c r="E314" t="s">
        <v>333</v>
      </c>
      <c r="F314" t="s">
        <v>306</v>
      </c>
    </row>
    <row r="315" spans="1:6" hidden="1" x14ac:dyDescent="0.25">
      <c r="A315" t="s">
        <v>375</v>
      </c>
      <c r="B315" t="s">
        <v>376</v>
      </c>
      <c r="C315" t="s">
        <v>379</v>
      </c>
      <c r="D315" t="s">
        <v>334</v>
      </c>
      <c r="E315" t="s">
        <v>335</v>
      </c>
      <c r="F315" t="s">
        <v>306</v>
      </c>
    </row>
    <row r="316" spans="1:6" hidden="1" x14ac:dyDescent="0.25">
      <c r="A316" t="s">
        <v>375</v>
      </c>
      <c r="B316" t="s">
        <v>376</v>
      </c>
      <c r="C316" t="s">
        <v>379</v>
      </c>
      <c r="D316" t="s">
        <v>139</v>
      </c>
      <c r="E316" t="s">
        <v>336</v>
      </c>
      <c r="F316" t="s">
        <v>306</v>
      </c>
    </row>
    <row r="317" spans="1:6" hidden="1" x14ac:dyDescent="0.25">
      <c r="A317" t="s">
        <v>375</v>
      </c>
      <c r="B317" t="s">
        <v>376</v>
      </c>
      <c r="C317" t="s">
        <v>379</v>
      </c>
      <c r="D317" t="s">
        <v>337</v>
      </c>
      <c r="E317" t="s">
        <v>338</v>
      </c>
      <c r="F317" t="s">
        <v>36</v>
      </c>
    </row>
    <row r="318" spans="1:6" hidden="1" x14ac:dyDescent="0.25">
      <c r="A318" t="s">
        <v>375</v>
      </c>
      <c r="B318" t="s">
        <v>376</v>
      </c>
      <c r="C318" t="s">
        <v>379</v>
      </c>
      <c r="D318" t="s">
        <v>339</v>
      </c>
      <c r="E318" t="s">
        <v>340</v>
      </c>
      <c r="F318" t="s">
        <v>306</v>
      </c>
    </row>
    <row r="319" spans="1:6" hidden="1" x14ac:dyDescent="0.25">
      <c r="A319" t="s">
        <v>375</v>
      </c>
      <c r="B319" t="s">
        <v>376</v>
      </c>
      <c r="C319" t="s">
        <v>379</v>
      </c>
      <c r="D319" t="s">
        <v>341</v>
      </c>
      <c r="E319" t="s">
        <v>342</v>
      </c>
      <c r="F319" t="s">
        <v>36</v>
      </c>
    </row>
    <row r="320" spans="1:6" hidden="1" x14ac:dyDescent="0.25">
      <c r="A320" t="s">
        <v>375</v>
      </c>
      <c r="B320" t="s">
        <v>376</v>
      </c>
      <c r="C320" t="s">
        <v>379</v>
      </c>
      <c r="D320" t="s">
        <v>343</v>
      </c>
      <c r="E320" t="s">
        <v>132</v>
      </c>
      <c r="F320" t="s">
        <v>306</v>
      </c>
    </row>
    <row r="321" spans="1:7" hidden="1" x14ac:dyDescent="0.25">
      <c r="A321" t="s">
        <v>375</v>
      </c>
      <c r="B321" t="s">
        <v>376</v>
      </c>
      <c r="C321" t="s">
        <v>379</v>
      </c>
      <c r="D321" t="s">
        <v>344</v>
      </c>
      <c r="E321" t="s">
        <v>345</v>
      </c>
      <c r="F321" t="s">
        <v>306</v>
      </c>
    </row>
    <row r="322" spans="1:7" hidden="1" x14ac:dyDescent="0.25">
      <c r="A322" t="s">
        <v>375</v>
      </c>
      <c r="B322" t="s">
        <v>376</v>
      </c>
      <c r="C322" t="s">
        <v>380</v>
      </c>
      <c r="D322" t="s">
        <v>293</v>
      </c>
      <c r="E322" t="s">
        <v>294</v>
      </c>
      <c r="F322" t="s">
        <v>36</v>
      </c>
      <c r="G322" t="s">
        <v>40</v>
      </c>
    </row>
    <row r="323" spans="1:7" hidden="1" x14ac:dyDescent="0.25">
      <c r="A323" t="s">
        <v>375</v>
      </c>
      <c r="B323" t="s">
        <v>376</v>
      </c>
      <c r="C323" t="s">
        <v>380</v>
      </c>
      <c r="D323" t="s">
        <v>88</v>
      </c>
      <c r="E323" t="s">
        <v>89</v>
      </c>
      <c r="F323" t="s">
        <v>36</v>
      </c>
      <c r="G323" t="s">
        <v>90</v>
      </c>
    </row>
    <row r="324" spans="1:7" hidden="1" x14ac:dyDescent="0.25">
      <c r="A324" t="s">
        <v>375</v>
      </c>
      <c r="B324" t="s">
        <v>376</v>
      </c>
      <c r="C324" t="s">
        <v>380</v>
      </c>
      <c r="D324" t="s">
        <v>347</v>
      </c>
      <c r="E324" t="s">
        <v>348</v>
      </c>
      <c r="F324" t="s">
        <v>306</v>
      </c>
      <c r="G324" t="s">
        <v>160</v>
      </c>
    </row>
    <row r="325" spans="1:7" hidden="1" x14ac:dyDescent="0.25">
      <c r="A325" t="s">
        <v>375</v>
      </c>
      <c r="B325" t="s">
        <v>376</v>
      </c>
      <c r="C325" t="s">
        <v>380</v>
      </c>
      <c r="D325" t="s">
        <v>146</v>
      </c>
      <c r="E325" t="s">
        <v>349</v>
      </c>
      <c r="F325" t="s">
        <v>306</v>
      </c>
      <c r="G325" t="s">
        <v>163</v>
      </c>
    </row>
    <row r="326" spans="1:7" hidden="1" x14ac:dyDescent="0.25">
      <c r="A326" t="s">
        <v>375</v>
      </c>
      <c r="B326" t="s">
        <v>376</v>
      </c>
      <c r="C326" t="s">
        <v>380</v>
      </c>
      <c r="D326" t="s">
        <v>149</v>
      </c>
      <c r="E326" t="s">
        <v>350</v>
      </c>
      <c r="F326" t="s">
        <v>306</v>
      </c>
      <c r="G326" t="s">
        <v>351</v>
      </c>
    </row>
    <row r="327" spans="1:7" hidden="1" x14ac:dyDescent="0.25">
      <c r="A327" t="s">
        <v>375</v>
      </c>
      <c r="B327" t="s">
        <v>376</v>
      </c>
      <c r="C327" t="s">
        <v>380</v>
      </c>
      <c r="D327" t="s">
        <v>352</v>
      </c>
      <c r="E327" t="s">
        <v>144</v>
      </c>
      <c r="F327" t="s">
        <v>36</v>
      </c>
      <c r="G327" t="s">
        <v>145</v>
      </c>
    </row>
    <row r="328" spans="1:7" hidden="1" x14ac:dyDescent="0.25">
      <c r="A328" t="s">
        <v>375</v>
      </c>
      <c r="B328" t="s">
        <v>376</v>
      </c>
      <c r="C328" t="s">
        <v>380</v>
      </c>
      <c r="D328" t="s">
        <v>155</v>
      </c>
      <c r="E328" t="s">
        <v>147</v>
      </c>
      <c r="F328" t="s">
        <v>36</v>
      </c>
      <c r="G328" t="s">
        <v>148</v>
      </c>
    </row>
    <row r="329" spans="1:7" hidden="1" x14ac:dyDescent="0.25">
      <c r="A329" t="s">
        <v>375</v>
      </c>
      <c r="B329" t="s">
        <v>376</v>
      </c>
      <c r="C329" t="s">
        <v>380</v>
      </c>
      <c r="D329" t="s">
        <v>158</v>
      </c>
      <c r="E329" t="s">
        <v>280</v>
      </c>
      <c r="F329" t="s">
        <v>36</v>
      </c>
      <c r="G329" t="s">
        <v>151</v>
      </c>
    </row>
    <row r="330" spans="1:7" hidden="1" x14ac:dyDescent="0.25">
      <c r="A330" t="s">
        <v>375</v>
      </c>
      <c r="B330" t="s">
        <v>376</v>
      </c>
      <c r="C330" t="s">
        <v>380</v>
      </c>
      <c r="D330" t="s">
        <v>161</v>
      </c>
      <c r="E330" t="s">
        <v>354</v>
      </c>
      <c r="F330" t="s">
        <v>36</v>
      </c>
      <c r="G330">
        <v>0</v>
      </c>
    </row>
    <row r="331" spans="1:7" hidden="1" x14ac:dyDescent="0.25">
      <c r="A331" t="s">
        <v>375</v>
      </c>
      <c r="B331" t="s">
        <v>376</v>
      </c>
      <c r="C331" t="s">
        <v>380</v>
      </c>
      <c r="D331" t="s">
        <v>355</v>
      </c>
      <c r="E331" t="s">
        <v>356</v>
      </c>
      <c r="F331" t="s">
        <v>36</v>
      </c>
      <c r="G331" t="s">
        <v>357</v>
      </c>
    </row>
    <row r="332" spans="1:7" hidden="1" x14ac:dyDescent="0.25">
      <c r="A332" t="s">
        <v>375</v>
      </c>
      <c r="B332" t="s">
        <v>376</v>
      </c>
      <c r="C332" t="s">
        <v>380</v>
      </c>
      <c r="D332" t="s">
        <v>358</v>
      </c>
      <c r="E332" t="s">
        <v>359</v>
      </c>
      <c r="F332" t="s">
        <v>306</v>
      </c>
      <c r="G332" t="s">
        <v>85</v>
      </c>
    </row>
    <row r="333" spans="1:7" hidden="1" x14ac:dyDescent="0.25">
      <c r="A333" t="s">
        <v>375</v>
      </c>
      <c r="B333" t="s">
        <v>376</v>
      </c>
      <c r="C333" t="s">
        <v>380</v>
      </c>
      <c r="D333" t="s">
        <v>360</v>
      </c>
      <c r="E333" t="s">
        <v>153</v>
      </c>
      <c r="F333" t="s">
        <v>36</v>
      </c>
      <c r="G333" t="s">
        <v>252</v>
      </c>
    </row>
    <row r="334" spans="1:7" hidden="1" x14ac:dyDescent="0.25">
      <c r="A334" t="s">
        <v>375</v>
      </c>
      <c r="B334" t="s">
        <v>376</v>
      </c>
      <c r="C334" t="s">
        <v>380</v>
      </c>
      <c r="D334" t="s">
        <v>361</v>
      </c>
      <c r="E334" t="s">
        <v>362</v>
      </c>
      <c r="F334" t="s">
        <v>306</v>
      </c>
      <c r="G334" t="s">
        <v>157</v>
      </c>
    </row>
    <row r="335" spans="1:7" hidden="1" x14ac:dyDescent="0.25">
      <c r="A335" t="s">
        <v>375</v>
      </c>
      <c r="B335" t="s">
        <v>376</v>
      </c>
      <c r="C335" t="s">
        <v>380</v>
      </c>
      <c r="D335" t="s">
        <v>363</v>
      </c>
      <c r="E335" t="s">
        <v>364</v>
      </c>
      <c r="F335" t="s">
        <v>365</v>
      </c>
      <c r="G335" t="s">
        <v>85</v>
      </c>
    </row>
    <row r="336" spans="1:7" hidden="1" x14ac:dyDescent="0.25">
      <c r="A336" t="s">
        <v>375</v>
      </c>
      <c r="B336" t="s">
        <v>376</v>
      </c>
      <c r="C336" t="s">
        <v>380</v>
      </c>
      <c r="D336" t="s">
        <v>366</v>
      </c>
      <c r="E336" t="s">
        <v>367</v>
      </c>
      <c r="F336" t="s">
        <v>365</v>
      </c>
      <c r="G336" t="s">
        <v>85</v>
      </c>
    </row>
    <row r="337" spans="1:7" hidden="1" x14ac:dyDescent="0.25">
      <c r="A337" t="s">
        <v>375</v>
      </c>
      <c r="B337" t="s">
        <v>376</v>
      </c>
      <c r="C337" t="s">
        <v>380</v>
      </c>
      <c r="D337" t="s">
        <v>368</v>
      </c>
      <c r="E337" t="s">
        <v>369</v>
      </c>
      <c r="F337" t="s">
        <v>36</v>
      </c>
      <c r="G337" t="s">
        <v>370</v>
      </c>
    </row>
    <row r="338" spans="1:7" hidden="1" x14ac:dyDescent="0.25">
      <c r="A338" t="s">
        <v>375</v>
      </c>
      <c r="B338" t="s">
        <v>376</v>
      </c>
      <c r="C338" t="s">
        <v>381</v>
      </c>
      <c r="D338" t="s">
        <v>293</v>
      </c>
      <c r="E338" t="s">
        <v>294</v>
      </c>
      <c r="F338" t="s">
        <v>36</v>
      </c>
      <c r="G338" t="s">
        <v>37</v>
      </c>
    </row>
    <row r="339" spans="1:7" hidden="1" x14ac:dyDescent="0.25">
      <c r="A339" t="s">
        <v>375</v>
      </c>
      <c r="B339" t="s">
        <v>376</v>
      </c>
      <c r="C339" t="s">
        <v>381</v>
      </c>
      <c r="D339" t="s">
        <v>88</v>
      </c>
      <c r="E339" t="s">
        <v>89</v>
      </c>
      <c r="F339" t="s">
        <v>36</v>
      </c>
      <c r="G339" t="s">
        <v>90</v>
      </c>
    </row>
    <row r="340" spans="1:7" hidden="1" x14ac:dyDescent="0.25">
      <c r="A340" t="s">
        <v>375</v>
      </c>
      <c r="B340" t="s">
        <v>376</v>
      </c>
      <c r="C340" t="s">
        <v>381</v>
      </c>
      <c r="D340" t="s">
        <v>166</v>
      </c>
      <c r="E340" t="s">
        <v>167</v>
      </c>
      <c r="F340" t="s">
        <v>36</v>
      </c>
      <c r="G340" t="s">
        <v>168</v>
      </c>
    </row>
    <row r="341" spans="1:7" hidden="1" x14ac:dyDescent="0.25">
      <c r="A341" t="s">
        <v>375</v>
      </c>
      <c r="B341" t="s">
        <v>376</v>
      </c>
      <c r="C341" t="s">
        <v>382</v>
      </c>
      <c r="D341" t="s">
        <v>293</v>
      </c>
      <c r="E341" t="s">
        <v>294</v>
      </c>
      <c r="F341" t="s">
        <v>36</v>
      </c>
      <c r="G341" t="s">
        <v>40</v>
      </c>
    </row>
    <row r="342" spans="1:7" hidden="1" x14ac:dyDescent="0.25">
      <c r="A342" t="s">
        <v>375</v>
      </c>
      <c r="B342" t="s">
        <v>376</v>
      </c>
      <c r="C342" t="s">
        <v>382</v>
      </c>
      <c r="D342" t="s">
        <v>88</v>
      </c>
      <c r="E342" t="s">
        <v>89</v>
      </c>
      <c r="F342" t="s">
        <v>36</v>
      </c>
      <c r="G342" t="s">
        <v>90</v>
      </c>
    </row>
    <row r="343" spans="1:7" hidden="1" x14ac:dyDescent="0.25">
      <c r="A343" t="s">
        <v>375</v>
      </c>
      <c r="B343" t="s">
        <v>376</v>
      </c>
      <c r="C343" t="s">
        <v>382</v>
      </c>
      <c r="D343" t="s">
        <v>170</v>
      </c>
      <c r="E343" t="s">
        <v>171</v>
      </c>
      <c r="F343" t="s">
        <v>36</v>
      </c>
    </row>
    <row r="344" spans="1:7" hidden="1" x14ac:dyDescent="0.25">
      <c r="A344" t="s">
        <v>375</v>
      </c>
      <c r="B344" t="s">
        <v>376</v>
      </c>
      <c r="C344" t="s">
        <v>382</v>
      </c>
      <c r="D344" t="s">
        <v>172</v>
      </c>
      <c r="E344" t="s">
        <v>173</v>
      </c>
      <c r="F344" t="s">
        <v>36</v>
      </c>
    </row>
    <row r="345" spans="1:7" hidden="1" x14ac:dyDescent="0.25">
      <c r="A345" t="s">
        <v>375</v>
      </c>
      <c r="B345" t="s">
        <v>376</v>
      </c>
      <c r="C345" t="s">
        <v>382</v>
      </c>
      <c r="D345" t="s">
        <v>174</v>
      </c>
      <c r="E345" t="s">
        <v>175</v>
      </c>
      <c r="F345" t="s">
        <v>36</v>
      </c>
    </row>
    <row r="346" spans="1:7" x14ac:dyDescent="0.25">
      <c r="A346" t="s">
        <v>375</v>
      </c>
      <c r="B346" t="s">
        <v>376</v>
      </c>
      <c r="C346" t="s">
        <v>383</v>
      </c>
      <c r="D346" t="s">
        <v>293</v>
      </c>
      <c r="E346" t="s">
        <v>294</v>
      </c>
      <c r="F346" t="s">
        <v>36</v>
      </c>
      <c r="G346" t="s">
        <v>4</v>
      </c>
    </row>
    <row r="347" spans="1:7" x14ac:dyDescent="0.25">
      <c r="A347" t="s">
        <v>375</v>
      </c>
      <c r="B347" t="s">
        <v>376</v>
      </c>
      <c r="C347" t="s">
        <v>383</v>
      </c>
      <c r="D347" t="s">
        <v>88</v>
      </c>
      <c r="E347" t="s">
        <v>89</v>
      </c>
      <c r="F347" t="s">
        <v>36</v>
      </c>
      <c r="G347" t="s">
        <v>5</v>
      </c>
    </row>
    <row r="348" spans="1:7" x14ac:dyDescent="0.25">
      <c r="A348" t="s">
        <v>375</v>
      </c>
      <c r="B348" t="s">
        <v>376</v>
      </c>
      <c r="C348" t="s">
        <v>383</v>
      </c>
      <c r="D348" t="s">
        <v>293</v>
      </c>
      <c r="E348" t="s">
        <v>374</v>
      </c>
      <c r="F348" t="s">
        <v>36</v>
      </c>
      <c r="G348" t="s">
        <v>4</v>
      </c>
    </row>
    <row r="349" spans="1:7" x14ac:dyDescent="0.25">
      <c r="A349" t="s">
        <v>375</v>
      </c>
      <c r="B349" t="s">
        <v>376</v>
      </c>
      <c r="C349" t="s">
        <v>383</v>
      </c>
      <c r="D349" t="s">
        <v>88</v>
      </c>
      <c r="E349" t="s">
        <v>15</v>
      </c>
      <c r="F349" t="s">
        <v>36</v>
      </c>
      <c r="G349" t="s">
        <v>7</v>
      </c>
    </row>
    <row r="350" spans="1:7" x14ac:dyDescent="0.25">
      <c r="A350" t="s">
        <v>375</v>
      </c>
      <c r="B350" t="s">
        <v>376</v>
      </c>
      <c r="C350" t="s">
        <v>383</v>
      </c>
      <c r="D350" t="s">
        <v>303</v>
      </c>
      <c r="E350" t="s">
        <v>57</v>
      </c>
      <c r="F350" t="s">
        <v>36</v>
      </c>
    </row>
    <row r="351" spans="1:7" x14ac:dyDescent="0.25">
      <c r="A351" t="s">
        <v>375</v>
      </c>
      <c r="B351" t="s">
        <v>376</v>
      </c>
      <c r="C351" t="s">
        <v>383</v>
      </c>
      <c r="D351" t="s">
        <v>109</v>
      </c>
      <c r="E351" t="s">
        <v>16</v>
      </c>
      <c r="F351" t="s">
        <v>36</v>
      </c>
    </row>
    <row r="352" spans="1:7" x14ac:dyDescent="0.25">
      <c r="A352" t="s">
        <v>375</v>
      </c>
      <c r="B352" t="s">
        <v>376</v>
      </c>
      <c r="C352" t="s">
        <v>383</v>
      </c>
      <c r="D352" t="s">
        <v>115</v>
      </c>
      <c r="E352" t="s">
        <v>179</v>
      </c>
      <c r="F352" t="s">
        <v>36</v>
      </c>
      <c r="G352" t="s">
        <v>180</v>
      </c>
    </row>
    <row r="353" spans="1:7" x14ac:dyDescent="0.25">
      <c r="A353" t="s">
        <v>375</v>
      </c>
      <c r="B353" t="s">
        <v>376</v>
      </c>
      <c r="C353" t="s">
        <v>383</v>
      </c>
      <c r="D353" t="s">
        <v>121</v>
      </c>
      <c r="E353" t="s">
        <v>20</v>
      </c>
      <c r="F353" t="s">
        <v>36</v>
      </c>
    </row>
    <row r="354" spans="1:7" x14ac:dyDescent="0.25">
      <c r="A354" t="s">
        <v>375</v>
      </c>
      <c r="B354" t="s">
        <v>376</v>
      </c>
      <c r="C354" t="s">
        <v>383</v>
      </c>
      <c r="D354" t="s">
        <v>129</v>
      </c>
      <c r="E354" t="s">
        <v>18</v>
      </c>
      <c r="F354" t="s">
        <v>36</v>
      </c>
      <c r="G354" t="s">
        <v>182</v>
      </c>
    </row>
    <row r="355" spans="1:7" x14ac:dyDescent="0.25">
      <c r="A355" t="s">
        <v>375</v>
      </c>
      <c r="B355" t="s">
        <v>376</v>
      </c>
      <c r="C355" t="s">
        <v>383</v>
      </c>
      <c r="D355" t="s">
        <v>288</v>
      </c>
      <c r="E355" t="s">
        <v>127</v>
      </c>
      <c r="F355" t="s">
        <v>36</v>
      </c>
      <c r="G355" t="s">
        <v>183</v>
      </c>
    </row>
    <row r="356" spans="1:7" x14ac:dyDescent="0.25">
      <c r="A356" t="s">
        <v>375</v>
      </c>
      <c r="B356" t="s">
        <v>376</v>
      </c>
      <c r="C356" t="s">
        <v>383</v>
      </c>
      <c r="D356" t="s">
        <v>289</v>
      </c>
      <c r="E356" t="s">
        <v>20</v>
      </c>
      <c r="F356" t="s">
        <v>36</v>
      </c>
    </row>
    <row r="357" spans="1:7" hidden="1" x14ac:dyDescent="0.25">
      <c r="A357" t="s">
        <v>384</v>
      </c>
      <c r="B357" t="s">
        <v>385</v>
      </c>
      <c r="C357" t="s">
        <v>386</v>
      </c>
      <c r="D357" t="s">
        <v>293</v>
      </c>
      <c r="E357" t="s">
        <v>387</v>
      </c>
      <c r="F357" t="s">
        <v>36</v>
      </c>
      <c r="G357" t="s">
        <v>40</v>
      </c>
    </row>
    <row r="358" spans="1:7" hidden="1" x14ac:dyDescent="0.25">
      <c r="A358" t="s">
        <v>384</v>
      </c>
      <c r="B358" t="s">
        <v>385</v>
      </c>
      <c r="C358" t="s">
        <v>386</v>
      </c>
      <c r="D358" t="s">
        <v>295</v>
      </c>
      <c r="E358" t="s">
        <v>296</v>
      </c>
      <c r="F358" t="s">
        <v>36</v>
      </c>
      <c r="G358" t="s">
        <v>388</v>
      </c>
    </row>
    <row r="359" spans="1:7" hidden="1" x14ac:dyDescent="0.25">
      <c r="A359" t="s">
        <v>384</v>
      </c>
      <c r="B359" t="s">
        <v>385</v>
      </c>
      <c r="C359" t="s">
        <v>386</v>
      </c>
      <c r="D359" t="s">
        <v>298</v>
      </c>
      <c r="E359" t="s">
        <v>389</v>
      </c>
      <c r="F359" t="s">
        <v>306</v>
      </c>
      <c r="G359" t="s">
        <v>390</v>
      </c>
    </row>
    <row r="360" spans="1:7" hidden="1" x14ac:dyDescent="0.25">
      <c r="A360" t="s">
        <v>384</v>
      </c>
      <c r="B360" t="s">
        <v>385</v>
      </c>
      <c r="C360" t="s">
        <v>386</v>
      </c>
      <c r="D360" t="s">
        <v>301</v>
      </c>
      <c r="E360" t="s">
        <v>391</v>
      </c>
      <c r="F360" t="s">
        <v>36</v>
      </c>
      <c r="G360" t="s">
        <v>46</v>
      </c>
    </row>
    <row r="361" spans="1:7" hidden="1" x14ac:dyDescent="0.25">
      <c r="A361" t="s">
        <v>384</v>
      </c>
      <c r="B361" t="s">
        <v>385</v>
      </c>
      <c r="C361" t="s">
        <v>386</v>
      </c>
      <c r="D361" t="s">
        <v>302</v>
      </c>
      <c r="E361" t="s">
        <v>48</v>
      </c>
      <c r="F361" t="s">
        <v>36</v>
      </c>
      <c r="G361" t="s">
        <v>49</v>
      </c>
    </row>
    <row r="362" spans="1:7" hidden="1" x14ac:dyDescent="0.25">
      <c r="A362" t="s">
        <v>384</v>
      </c>
      <c r="B362" t="s">
        <v>385</v>
      </c>
      <c r="C362" t="s">
        <v>386</v>
      </c>
      <c r="D362" t="s">
        <v>303</v>
      </c>
      <c r="E362" t="s">
        <v>51</v>
      </c>
      <c r="F362" t="s">
        <v>36</v>
      </c>
      <c r="G362" t="s">
        <v>52</v>
      </c>
    </row>
    <row r="363" spans="1:7" hidden="1" x14ac:dyDescent="0.25">
      <c r="A363" t="s">
        <v>384</v>
      </c>
      <c r="B363" t="s">
        <v>385</v>
      </c>
      <c r="C363" t="s">
        <v>386</v>
      </c>
      <c r="D363" t="s">
        <v>304</v>
      </c>
      <c r="E363" t="s">
        <v>392</v>
      </c>
      <c r="F363" t="s">
        <v>36</v>
      </c>
      <c r="G363" t="s">
        <v>393</v>
      </c>
    </row>
    <row r="364" spans="1:7" hidden="1" x14ac:dyDescent="0.25">
      <c r="A364" t="s">
        <v>384</v>
      </c>
      <c r="B364" t="s">
        <v>385</v>
      </c>
      <c r="C364" t="s">
        <v>386</v>
      </c>
      <c r="D364" t="s">
        <v>308</v>
      </c>
      <c r="E364" t="s">
        <v>57</v>
      </c>
      <c r="F364" t="s">
        <v>36</v>
      </c>
      <c r="G364" t="s">
        <v>394</v>
      </c>
    </row>
    <row r="365" spans="1:7" hidden="1" x14ac:dyDescent="0.25">
      <c r="A365" t="s">
        <v>384</v>
      </c>
      <c r="B365" t="s">
        <v>385</v>
      </c>
      <c r="C365" t="s">
        <v>386</v>
      </c>
      <c r="D365" t="s">
        <v>309</v>
      </c>
      <c r="E365" t="s">
        <v>395</v>
      </c>
      <c r="F365" t="s">
        <v>396</v>
      </c>
      <c r="G365" t="s">
        <v>397</v>
      </c>
    </row>
    <row r="366" spans="1:7" hidden="1" x14ac:dyDescent="0.25">
      <c r="A366" t="s">
        <v>384</v>
      </c>
      <c r="B366" t="s">
        <v>385</v>
      </c>
      <c r="C366" t="s">
        <v>386</v>
      </c>
      <c r="D366" t="s">
        <v>311</v>
      </c>
      <c r="E366" t="s">
        <v>305</v>
      </c>
      <c r="F366" t="s">
        <v>306</v>
      </c>
      <c r="G366" t="s">
        <v>61</v>
      </c>
    </row>
    <row r="367" spans="1:7" hidden="1" x14ac:dyDescent="0.25">
      <c r="A367" t="s">
        <v>384</v>
      </c>
      <c r="B367" t="s">
        <v>385</v>
      </c>
      <c r="C367" t="s">
        <v>386</v>
      </c>
      <c r="D367" t="s">
        <v>71</v>
      </c>
      <c r="E367" t="s">
        <v>398</v>
      </c>
      <c r="F367" t="s">
        <v>306</v>
      </c>
      <c r="G367" t="s">
        <v>64</v>
      </c>
    </row>
    <row r="368" spans="1:7" hidden="1" x14ac:dyDescent="0.25">
      <c r="A368" t="s">
        <v>384</v>
      </c>
      <c r="B368" t="s">
        <v>385</v>
      </c>
      <c r="C368" t="s">
        <v>386</v>
      </c>
      <c r="D368" t="s">
        <v>74</v>
      </c>
      <c r="E368" t="s">
        <v>66</v>
      </c>
      <c r="F368" t="s">
        <v>306</v>
      </c>
      <c r="G368" t="s">
        <v>67</v>
      </c>
    </row>
    <row r="369" spans="1:7" hidden="1" x14ac:dyDescent="0.25">
      <c r="A369" t="s">
        <v>384</v>
      </c>
      <c r="B369" t="s">
        <v>385</v>
      </c>
      <c r="C369" t="s">
        <v>386</v>
      </c>
      <c r="D369" t="s">
        <v>77</v>
      </c>
      <c r="E369" t="s">
        <v>310</v>
      </c>
      <c r="F369" t="s">
        <v>306</v>
      </c>
      <c r="G369" t="s">
        <v>70</v>
      </c>
    </row>
    <row r="370" spans="1:7" hidden="1" x14ac:dyDescent="0.25">
      <c r="A370" t="s">
        <v>384</v>
      </c>
      <c r="B370" t="s">
        <v>385</v>
      </c>
      <c r="C370" t="s">
        <v>386</v>
      </c>
      <c r="D370" t="s">
        <v>81</v>
      </c>
      <c r="E370" t="s">
        <v>312</v>
      </c>
      <c r="F370" t="s">
        <v>306</v>
      </c>
      <c r="G370" t="s">
        <v>73</v>
      </c>
    </row>
    <row r="371" spans="1:7" hidden="1" x14ac:dyDescent="0.25">
      <c r="A371" t="s">
        <v>384</v>
      </c>
      <c r="B371" t="s">
        <v>385</v>
      </c>
      <c r="C371" t="s">
        <v>386</v>
      </c>
      <c r="D371" t="s">
        <v>399</v>
      </c>
      <c r="E371" t="s">
        <v>313</v>
      </c>
      <c r="F371" t="s">
        <v>306</v>
      </c>
      <c r="G371" t="s">
        <v>216</v>
      </c>
    </row>
    <row r="372" spans="1:7" hidden="1" x14ac:dyDescent="0.25">
      <c r="A372" t="s">
        <v>384</v>
      </c>
      <c r="B372" t="s">
        <v>385</v>
      </c>
      <c r="C372" t="s">
        <v>386</v>
      </c>
      <c r="D372" t="s">
        <v>400</v>
      </c>
      <c r="E372" t="s">
        <v>401</v>
      </c>
      <c r="F372" t="s">
        <v>36</v>
      </c>
      <c r="G372" t="s">
        <v>402</v>
      </c>
    </row>
    <row r="373" spans="1:7" hidden="1" x14ac:dyDescent="0.25">
      <c r="A373" t="s">
        <v>384</v>
      </c>
      <c r="B373" t="s">
        <v>385</v>
      </c>
      <c r="C373" t="s">
        <v>386</v>
      </c>
      <c r="D373" t="s">
        <v>403</v>
      </c>
      <c r="E373" t="s">
        <v>315</v>
      </c>
      <c r="F373" t="s">
        <v>36</v>
      </c>
      <c r="G373" t="s">
        <v>404</v>
      </c>
    </row>
    <row r="374" spans="1:7" hidden="1" x14ac:dyDescent="0.25">
      <c r="A374" t="s">
        <v>384</v>
      </c>
      <c r="B374" t="s">
        <v>385</v>
      </c>
      <c r="C374" t="s">
        <v>386</v>
      </c>
      <c r="D374" t="s">
        <v>405</v>
      </c>
      <c r="E374" t="s">
        <v>406</v>
      </c>
      <c r="F374" t="s">
        <v>306</v>
      </c>
      <c r="G374" t="s">
        <v>407</v>
      </c>
    </row>
    <row r="375" spans="1:7" hidden="1" x14ac:dyDescent="0.25">
      <c r="A375" t="s">
        <v>384</v>
      </c>
      <c r="B375" t="s">
        <v>385</v>
      </c>
      <c r="C375" t="s">
        <v>386</v>
      </c>
      <c r="D375" t="s">
        <v>408</v>
      </c>
      <c r="E375" t="s">
        <v>409</v>
      </c>
      <c r="F375" t="s">
        <v>306</v>
      </c>
    </row>
    <row r="376" spans="1:7" hidden="1" x14ac:dyDescent="0.25">
      <c r="A376" t="s">
        <v>384</v>
      </c>
      <c r="B376" t="s">
        <v>385</v>
      </c>
      <c r="C376" t="s">
        <v>386</v>
      </c>
      <c r="E376" t="s">
        <v>84</v>
      </c>
      <c r="F376" t="s">
        <v>79</v>
      </c>
      <c r="G376" t="s">
        <v>85</v>
      </c>
    </row>
    <row r="377" spans="1:7" hidden="1" x14ac:dyDescent="0.25">
      <c r="A377" t="s">
        <v>384</v>
      </c>
      <c r="B377" t="s">
        <v>385</v>
      </c>
      <c r="C377" t="s">
        <v>410</v>
      </c>
      <c r="D377" t="s">
        <v>293</v>
      </c>
      <c r="E377" t="s">
        <v>387</v>
      </c>
      <c r="F377" t="s">
        <v>36</v>
      </c>
      <c r="G377" t="s">
        <v>40</v>
      </c>
    </row>
    <row r="378" spans="1:7" hidden="1" x14ac:dyDescent="0.25">
      <c r="A378" t="s">
        <v>384</v>
      </c>
      <c r="B378" t="s">
        <v>385</v>
      </c>
      <c r="C378" t="s">
        <v>410</v>
      </c>
      <c r="D378" t="s">
        <v>411</v>
      </c>
      <c r="E378" t="s">
        <v>412</v>
      </c>
      <c r="F378" t="s">
        <v>36</v>
      </c>
      <c r="G378" t="s">
        <v>90</v>
      </c>
    </row>
    <row r="379" spans="1:7" hidden="1" x14ac:dyDescent="0.25">
      <c r="A379" t="s">
        <v>384</v>
      </c>
      <c r="B379" t="s">
        <v>385</v>
      </c>
      <c r="C379" t="s">
        <v>410</v>
      </c>
      <c r="D379" t="s">
        <v>91</v>
      </c>
      <c r="E379" t="s">
        <v>413</v>
      </c>
      <c r="F379" t="s">
        <v>36</v>
      </c>
      <c r="G379" t="s">
        <v>275</v>
      </c>
    </row>
    <row r="380" spans="1:7" hidden="1" x14ac:dyDescent="0.25">
      <c r="A380" t="s">
        <v>384</v>
      </c>
      <c r="B380" t="s">
        <v>385</v>
      </c>
      <c r="C380" t="s">
        <v>410</v>
      </c>
      <c r="D380" t="s">
        <v>414</v>
      </c>
      <c r="E380" t="s">
        <v>415</v>
      </c>
      <c r="F380" t="s">
        <v>36</v>
      </c>
      <c r="G380" t="s">
        <v>96</v>
      </c>
    </row>
    <row r="381" spans="1:7" hidden="1" x14ac:dyDescent="0.25">
      <c r="A381" t="s">
        <v>384</v>
      </c>
      <c r="B381" t="s">
        <v>385</v>
      </c>
      <c r="C381" t="s">
        <v>410</v>
      </c>
      <c r="D381" t="s">
        <v>416</v>
      </c>
      <c r="E381" t="s">
        <v>417</v>
      </c>
      <c r="F381" t="s">
        <v>36</v>
      </c>
      <c r="G381" t="s">
        <v>99</v>
      </c>
    </row>
    <row r="382" spans="1:7" hidden="1" x14ac:dyDescent="0.25">
      <c r="A382" t="s">
        <v>384</v>
      </c>
      <c r="B382" t="s">
        <v>385</v>
      </c>
      <c r="C382" t="s">
        <v>410</v>
      </c>
      <c r="D382" t="s">
        <v>418</v>
      </c>
      <c r="E382" t="s">
        <v>419</v>
      </c>
      <c r="F382" t="s">
        <v>36</v>
      </c>
      <c r="G382" t="s">
        <v>111</v>
      </c>
    </row>
    <row r="383" spans="1:7" hidden="1" x14ac:dyDescent="0.25">
      <c r="A383" t="s">
        <v>384</v>
      </c>
      <c r="B383" t="s">
        <v>385</v>
      </c>
      <c r="C383" t="s">
        <v>410</v>
      </c>
      <c r="D383" t="s">
        <v>420</v>
      </c>
      <c r="E383" t="s">
        <v>421</v>
      </c>
      <c r="F383" t="s">
        <v>36</v>
      </c>
      <c r="G383" t="s">
        <v>117</v>
      </c>
    </row>
    <row r="384" spans="1:7" hidden="1" x14ac:dyDescent="0.25">
      <c r="A384" t="s">
        <v>384</v>
      </c>
      <c r="B384" t="s">
        <v>385</v>
      </c>
      <c r="C384" t="s">
        <v>410</v>
      </c>
      <c r="D384" t="s">
        <v>422</v>
      </c>
      <c r="E384" t="s">
        <v>119</v>
      </c>
      <c r="F384" t="s">
        <v>36</v>
      </c>
      <c r="G384" t="s">
        <v>120</v>
      </c>
    </row>
    <row r="385" spans="1:7" hidden="1" x14ac:dyDescent="0.25">
      <c r="A385" t="s">
        <v>384</v>
      </c>
      <c r="B385" t="s">
        <v>385</v>
      </c>
      <c r="C385" t="s">
        <v>410</v>
      </c>
      <c r="D385" t="s">
        <v>423</v>
      </c>
      <c r="E385" t="s">
        <v>424</v>
      </c>
      <c r="F385" t="s">
        <v>36</v>
      </c>
      <c r="G385" t="s">
        <v>123</v>
      </c>
    </row>
    <row r="386" spans="1:7" hidden="1" x14ac:dyDescent="0.25">
      <c r="A386" t="s">
        <v>384</v>
      </c>
      <c r="B386" t="s">
        <v>385</v>
      </c>
      <c r="C386" t="s">
        <v>410</v>
      </c>
      <c r="D386" t="s">
        <v>425</v>
      </c>
      <c r="E386" t="s">
        <v>426</v>
      </c>
      <c r="F386" t="s">
        <v>306</v>
      </c>
      <c r="G386" t="s">
        <v>128</v>
      </c>
    </row>
    <row r="387" spans="1:7" hidden="1" x14ac:dyDescent="0.25">
      <c r="A387" t="s">
        <v>384</v>
      </c>
      <c r="B387" t="s">
        <v>385</v>
      </c>
      <c r="C387" t="s">
        <v>410</v>
      </c>
      <c r="D387" t="s">
        <v>427</v>
      </c>
      <c r="E387" t="s">
        <v>428</v>
      </c>
      <c r="F387" t="s">
        <v>36</v>
      </c>
      <c r="G387" t="s">
        <v>429</v>
      </c>
    </row>
    <row r="388" spans="1:7" hidden="1" x14ac:dyDescent="0.25">
      <c r="A388" t="s">
        <v>384</v>
      </c>
      <c r="B388" t="s">
        <v>385</v>
      </c>
      <c r="C388" t="s">
        <v>410</v>
      </c>
      <c r="D388" t="s">
        <v>430</v>
      </c>
      <c r="E388" t="s">
        <v>431</v>
      </c>
      <c r="F388" t="s">
        <v>36</v>
      </c>
      <c r="G388" t="s">
        <v>125</v>
      </c>
    </row>
    <row r="389" spans="1:7" hidden="1" x14ac:dyDescent="0.25">
      <c r="A389" t="s">
        <v>384</v>
      </c>
      <c r="B389" t="s">
        <v>385</v>
      </c>
      <c r="C389" t="s">
        <v>410</v>
      </c>
      <c r="D389" t="s">
        <v>331</v>
      </c>
      <c r="E389" t="s">
        <v>328</v>
      </c>
      <c r="F389" t="s">
        <v>36</v>
      </c>
      <c r="G389" t="s">
        <v>432</v>
      </c>
    </row>
    <row r="390" spans="1:7" hidden="1" x14ac:dyDescent="0.25">
      <c r="A390" t="s">
        <v>384</v>
      </c>
      <c r="B390" t="s">
        <v>385</v>
      </c>
      <c r="C390" t="s">
        <v>410</v>
      </c>
      <c r="D390" t="s">
        <v>433</v>
      </c>
      <c r="E390" t="s">
        <v>434</v>
      </c>
      <c r="F390" t="s">
        <v>36</v>
      </c>
      <c r="G390" t="s">
        <v>435</v>
      </c>
    </row>
    <row r="391" spans="1:7" hidden="1" x14ac:dyDescent="0.25">
      <c r="A391" t="s">
        <v>384</v>
      </c>
      <c r="B391" t="s">
        <v>385</v>
      </c>
      <c r="C391" t="s">
        <v>410</v>
      </c>
      <c r="D391" t="s">
        <v>436</v>
      </c>
      <c r="E391" t="s">
        <v>437</v>
      </c>
      <c r="F391" t="s">
        <v>36</v>
      </c>
      <c r="G391" t="s">
        <v>438</v>
      </c>
    </row>
    <row r="392" spans="1:7" hidden="1" x14ac:dyDescent="0.25">
      <c r="A392" t="s">
        <v>384</v>
      </c>
      <c r="B392" t="s">
        <v>385</v>
      </c>
      <c r="C392" t="s">
        <v>410</v>
      </c>
      <c r="D392" t="s">
        <v>439</v>
      </c>
      <c r="E392" t="s">
        <v>336</v>
      </c>
      <c r="F392" t="s">
        <v>306</v>
      </c>
    </row>
    <row r="393" spans="1:7" hidden="1" x14ac:dyDescent="0.25">
      <c r="A393" t="s">
        <v>384</v>
      </c>
      <c r="B393" t="s">
        <v>385</v>
      </c>
      <c r="C393" t="s">
        <v>410</v>
      </c>
      <c r="D393" t="s">
        <v>440</v>
      </c>
      <c r="E393" t="s">
        <v>340</v>
      </c>
      <c r="F393" t="s">
        <v>36</v>
      </c>
      <c r="G393" t="s">
        <v>441</v>
      </c>
    </row>
    <row r="394" spans="1:7" hidden="1" x14ac:dyDescent="0.25">
      <c r="A394" t="s">
        <v>384</v>
      </c>
      <c r="B394" t="s">
        <v>385</v>
      </c>
      <c r="C394" t="s">
        <v>410</v>
      </c>
      <c r="D394" t="s">
        <v>442</v>
      </c>
      <c r="E394" t="s">
        <v>338</v>
      </c>
      <c r="F394" t="s">
        <v>36</v>
      </c>
      <c r="G394" t="s">
        <v>443</v>
      </c>
    </row>
    <row r="395" spans="1:7" hidden="1" x14ac:dyDescent="0.25">
      <c r="A395" t="s">
        <v>384</v>
      </c>
      <c r="B395" t="s">
        <v>385</v>
      </c>
      <c r="C395" t="s">
        <v>410</v>
      </c>
      <c r="D395" t="s">
        <v>444</v>
      </c>
      <c r="E395" t="s">
        <v>316</v>
      </c>
      <c r="F395" t="s">
        <v>36</v>
      </c>
      <c r="G395" t="s">
        <v>445</v>
      </c>
    </row>
    <row r="396" spans="1:7" hidden="1" x14ac:dyDescent="0.25">
      <c r="A396" t="s">
        <v>384</v>
      </c>
      <c r="B396" t="s">
        <v>385</v>
      </c>
      <c r="C396" t="s">
        <v>410</v>
      </c>
      <c r="D396" t="s">
        <v>446</v>
      </c>
      <c r="E396" t="s">
        <v>447</v>
      </c>
      <c r="F396" t="s">
        <v>306</v>
      </c>
    </row>
    <row r="397" spans="1:7" hidden="1" x14ac:dyDescent="0.25">
      <c r="A397" t="s">
        <v>384</v>
      </c>
      <c r="B397" t="s">
        <v>385</v>
      </c>
      <c r="C397" t="s">
        <v>410</v>
      </c>
      <c r="D397" t="s">
        <v>448</v>
      </c>
      <c r="E397" t="s">
        <v>449</v>
      </c>
      <c r="F397" t="s">
        <v>36</v>
      </c>
      <c r="G397" t="s">
        <v>450</v>
      </c>
    </row>
    <row r="398" spans="1:7" hidden="1" x14ac:dyDescent="0.25">
      <c r="A398" t="s">
        <v>384</v>
      </c>
      <c r="B398" t="s">
        <v>385</v>
      </c>
      <c r="C398" t="s">
        <v>410</v>
      </c>
      <c r="D398" t="s">
        <v>451</v>
      </c>
      <c r="E398" t="s">
        <v>452</v>
      </c>
      <c r="F398" t="s">
        <v>36</v>
      </c>
      <c r="G398" t="s">
        <v>453</v>
      </c>
    </row>
    <row r="399" spans="1:7" hidden="1" x14ac:dyDescent="0.25">
      <c r="A399" t="s">
        <v>384</v>
      </c>
      <c r="B399" t="s">
        <v>385</v>
      </c>
      <c r="C399" t="s">
        <v>410</v>
      </c>
      <c r="D399" t="s">
        <v>454</v>
      </c>
      <c r="E399" t="s">
        <v>455</v>
      </c>
      <c r="F399" t="s">
        <v>36</v>
      </c>
      <c r="G399" t="s">
        <v>456</v>
      </c>
    </row>
    <row r="400" spans="1:7" hidden="1" x14ac:dyDescent="0.25">
      <c r="A400" t="s">
        <v>384</v>
      </c>
      <c r="B400" t="s">
        <v>385</v>
      </c>
      <c r="C400" t="s">
        <v>410</v>
      </c>
      <c r="D400" t="s">
        <v>457</v>
      </c>
      <c r="E400" t="s">
        <v>458</v>
      </c>
      <c r="F400" t="s">
        <v>396</v>
      </c>
    </row>
    <row r="401" spans="1:7" hidden="1" x14ac:dyDescent="0.25">
      <c r="A401" t="s">
        <v>384</v>
      </c>
      <c r="B401" t="s">
        <v>385</v>
      </c>
      <c r="C401" t="s">
        <v>410</v>
      </c>
      <c r="D401" t="s">
        <v>459</v>
      </c>
      <c r="E401" t="s">
        <v>460</v>
      </c>
      <c r="F401" t="s">
        <v>461</v>
      </c>
    </row>
    <row r="402" spans="1:7" hidden="1" x14ac:dyDescent="0.25">
      <c r="A402" t="s">
        <v>384</v>
      </c>
      <c r="B402" t="s">
        <v>385</v>
      </c>
      <c r="C402" t="s">
        <v>410</v>
      </c>
      <c r="D402" t="s">
        <v>462</v>
      </c>
      <c r="E402" t="s">
        <v>463</v>
      </c>
      <c r="F402" t="s">
        <v>464</v>
      </c>
    </row>
    <row r="403" spans="1:7" hidden="1" x14ac:dyDescent="0.25">
      <c r="A403" t="s">
        <v>384</v>
      </c>
      <c r="B403" t="s">
        <v>385</v>
      </c>
      <c r="C403" t="s">
        <v>410</v>
      </c>
      <c r="E403" t="s">
        <v>84</v>
      </c>
      <c r="F403" t="s">
        <v>79</v>
      </c>
      <c r="G403" t="s">
        <v>85</v>
      </c>
    </row>
    <row r="404" spans="1:7" hidden="1" x14ac:dyDescent="0.25">
      <c r="A404" t="s">
        <v>384</v>
      </c>
      <c r="B404" t="s">
        <v>385</v>
      </c>
      <c r="C404" t="s">
        <v>410</v>
      </c>
      <c r="D404" t="s">
        <v>465</v>
      </c>
      <c r="E404" t="s">
        <v>466</v>
      </c>
      <c r="F404" t="s">
        <v>306</v>
      </c>
      <c r="G404" t="s">
        <v>467</v>
      </c>
    </row>
    <row r="405" spans="1:7" hidden="1" x14ac:dyDescent="0.25">
      <c r="A405" t="s">
        <v>384</v>
      </c>
      <c r="B405" t="s">
        <v>385</v>
      </c>
      <c r="C405" t="s">
        <v>410</v>
      </c>
      <c r="D405" t="s">
        <v>468</v>
      </c>
      <c r="E405" t="s">
        <v>469</v>
      </c>
      <c r="F405" t="s">
        <v>306</v>
      </c>
      <c r="G405" t="s">
        <v>470</v>
      </c>
    </row>
    <row r="406" spans="1:7" hidden="1" x14ac:dyDescent="0.25">
      <c r="A406" t="s">
        <v>384</v>
      </c>
      <c r="B406" t="s">
        <v>385</v>
      </c>
      <c r="C406" t="s">
        <v>410</v>
      </c>
      <c r="D406" t="s">
        <v>471</v>
      </c>
      <c r="E406" t="s">
        <v>472</v>
      </c>
      <c r="F406" t="s">
        <v>306</v>
      </c>
      <c r="G406" t="s">
        <v>473</v>
      </c>
    </row>
    <row r="407" spans="1:7" hidden="1" x14ac:dyDescent="0.25">
      <c r="A407" t="s">
        <v>384</v>
      </c>
      <c r="B407" t="s">
        <v>385</v>
      </c>
      <c r="C407" t="s">
        <v>410</v>
      </c>
      <c r="D407" t="s">
        <v>474</v>
      </c>
      <c r="E407" t="s">
        <v>475</v>
      </c>
      <c r="F407" t="s">
        <v>306</v>
      </c>
      <c r="G407" t="s">
        <v>476</v>
      </c>
    </row>
    <row r="408" spans="1:7" hidden="1" x14ac:dyDescent="0.25">
      <c r="A408" t="s">
        <v>384</v>
      </c>
      <c r="B408" t="s">
        <v>385</v>
      </c>
      <c r="C408" t="s">
        <v>477</v>
      </c>
      <c r="D408" t="s">
        <v>293</v>
      </c>
      <c r="E408" t="s">
        <v>478</v>
      </c>
      <c r="F408" t="s">
        <v>36</v>
      </c>
      <c r="G408" t="s">
        <v>40</v>
      </c>
    </row>
    <row r="409" spans="1:7" hidden="1" x14ac:dyDescent="0.25">
      <c r="A409" t="s">
        <v>384</v>
      </c>
      <c r="B409" t="s">
        <v>385</v>
      </c>
      <c r="C409" t="s">
        <v>477</v>
      </c>
      <c r="D409" t="s">
        <v>411</v>
      </c>
      <c r="E409" t="s">
        <v>412</v>
      </c>
      <c r="F409" t="s">
        <v>36</v>
      </c>
      <c r="G409" t="s">
        <v>90</v>
      </c>
    </row>
    <row r="410" spans="1:7" hidden="1" x14ac:dyDescent="0.25">
      <c r="A410" t="s">
        <v>384</v>
      </c>
      <c r="B410" t="s">
        <v>385</v>
      </c>
      <c r="C410" t="s">
        <v>477</v>
      </c>
      <c r="D410" t="s">
        <v>479</v>
      </c>
      <c r="E410" t="s">
        <v>348</v>
      </c>
      <c r="F410" t="s">
        <v>306</v>
      </c>
      <c r="G410" t="s">
        <v>160</v>
      </c>
    </row>
    <row r="411" spans="1:7" hidden="1" x14ac:dyDescent="0.25">
      <c r="A411" t="s">
        <v>384</v>
      </c>
      <c r="B411" t="s">
        <v>385</v>
      </c>
      <c r="C411" t="s">
        <v>477</v>
      </c>
      <c r="D411" t="s">
        <v>480</v>
      </c>
      <c r="E411" t="s">
        <v>349</v>
      </c>
      <c r="F411" t="s">
        <v>306</v>
      </c>
      <c r="G411" t="s">
        <v>163</v>
      </c>
    </row>
    <row r="412" spans="1:7" hidden="1" x14ac:dyDescent="0.25">
      <c r="A412" t="s">
        <v>384</v>
      </c>
      <c r="B412" t="s">
        <v>385</v>
      </c>
      <c r="C412" t="s">
        <v>477</v>
      </c>
      <c r="D412" t="s">
        <v>481</v>
      </c>
      <c r="E412" t="s">
        <v>482</v>
      </c>
      <c r="F412" t="s">
        <v>36</v>
      </c>
      <c r="G412" t="s">
        <v>145</v>
      </c>
    </row>
    <row r="413" spans="1:7" hidden="1" x14ac:dyDescent="0.25">
      <c r="A413" t="s">
        <v>384</v>
      </c>
      <c r="B413" t="s">
        <v>385</v>
      </c>
      <c r="C413" t="s">
        <v>477</v>
      </c>
      <c r="D413" t="s">
        <v>152</v>
      </c>
      <c r="E413" t="s">
        <v>483</v>
      </c>
      <c r="F413" t="s">
        <v>36</v>
      </c>
      <c r="G413" t="s">
        <v>148</v>
      </c>
    </row>
    <row r="414" spans="1:7" hidden="1" x14ac:dyDescent="0.25">
      <c r="A414" t="s">
        <v>384</v>
      </c>
      <c r="B414" t="s">
        <v>385</v>
      </c>
      <c r="C414" t="s">
        <v>477</v>
      </c>
      <c r="D414" t="s">
        <v>484</v>
      </c>
      <c r="E414" t="s">
        <v>280</v>
      </c>
      <c r="F414" t="s">
        <v>36</v>
      </c>
      <c r="G414" t="s">
        <v>151</v>
      </c>
    </row>
    <row r="415" spans="1:7" hidden="1" x14ac:dyDescent="0.25">
      <c r="A415" t="s">
        <v>384</v>
      </c>
      <c r="B415" t="s">
        <v>385</v>
      </c>
      <c r="C415" t="s">
        <v>477</v>
      </c>
      <c r="D415" t="s">
        <v>485</v>
      </c>
      <c r="E415" t="s">
        <v>354</v>
      </c>
      <c r="F415" t="s">
        <v>306</v>
      </c>
    </row>
    <row r="416" spans="1:7" hidden="1" x14ac:dyDescent="0.25">
      <c r="A416" t="s">
        <v>384</v>
      </c>
      <c r="B416" t="s">
        <v>385</v>
      </c>
      <c r="C416" t="s">
        <v>477</v>
      </c>
      <c r="D416" t="s">
        <v>486</v>
      </c>
      <c r="E416" t="s">
        <v>487</v>
      </c>
      <c r="F416" t="s">
        <v>36</v>
      </c>
      <c r="G416" t="s">
        <v>357</v>
      </c>
    </row>
    <row r="417" spans="1:7" hidden="1" x14ac:dyDescent="0.25">
      <c r="A417" t="s">
        <v>384</v>
      </c>
      <c r="B417" t="s">
        <v>385</v>
      </c>
      <c r="C417" t="s">
        <v>477</v>
      </c>
      <c r="D417" t="s">
        <v>488</v>
      </c>
      <c r="E417" t="s">
        <v>489</v>
      </c>
      <c r="F417" t="s">
        <v>36</v>
      </c>
    </row>
    <row r="418" spans="1:7" hidden="1" x14ac:dyDescent="0.25">
      <c r="A418" t="s">
        <v>384</v>
      </c>
      <c r="B418" t="s">
        <v>385</v>
      </c>
      <c r="C418" t="s">
        <v>477</v>
      </c>
      <c r="D418" t="s">
        <v>490</v>
      </c>
      <c r="E418" t="s">
        <v>491</v>
      </c>
      <c r="F418" t="s">
        <v>36</v>
      </c>
      <c r="G418" t="s">
        <v>252</v>
      </c>
    </row>
    <row r="419" spans="1:7" hidden="1" x14ac:dyDescent="0.25">
      <c r="A419" t="s">
        <v>384</v>
      </c>
      <c r="B419" t="s">
        <v>385</v>
      </c>
      <c r="C419" t="s">
        <v>477</v>
      </c>
      <c r="D419" t="s">
        <v>492</v>
      </c>
      <c r="E419" t="s">
        <v>493</v>
      </c>
      <c r="F419" t="s">
        <v>494</v>
      </c>
      <c r="G419" t="s">
        <v>157</v>
      </c>
    </row>
    <row r="420" spans="1:7" hidden="1" x14ac:dyDescent="0.25">
      <c r="A420" t="s">
        <v>384</v>
      </c>
      <c r="B420" t="s">
        <v>385</v>
      </c>
      <c r="C420" t="s">
        <v>477</v>
      </c>
      <c r="D420" t="s">
        <v>495</v>
      </c>
      <c r="E420" t="s">
        <v>496</v>
      </c>
      <c r="F420" t="s">
        <v>494</v>
      </c>
    </row>
    <row r="421" spans="1:7" hidden="1" x14ac:dyDescent="0.25">
      <c r="A421" t="s">
        <v>384</v>
      </c>
      <c r="B421" t="s">
        <v>385</v>
      </c>
      <c r="C421" t="s">
        <v>477</v>
      </c>
      <c r="D421" t="s">
        <v>497</v>
      </c>
      <c r="E421" t="s">
        <v>498</v>
      </c>
      <c r="F421" t="s">
        <v>306</v>
      </c>
    </row>
    <row r="422" spans="1:7" hidden="1" x14ac:dyDescent="0.25">
      <c r="A422" t="s">
        <v>384</v>
      </c>
      <c r="B422" t="s">
        <v>385</v>
      </c>
      <c r="C422" t="s">
        <v>477</v>
      </c>
      <c r="D422" t="s">
        <v>363</v>
      </c>
      <c r="E422" t="s">
        <v>364</v>
      </c>
      <c r="F422" t="s">
        <v>365</v>
      </c>
    </row>
    <row r="423" spans="1:7" hidden="1" x14ac:dyDescent="0.25">
      <c r="A423" t="s">
        <v>384</v>
      </c>
      <c r="B423" t="s">
        <v>385</v>
      </c>
      <c r="C423" t="s">
        <v>477</v>
      </c>
      <c r="D423" t="s">
        <v>366</v>
      </c>
      <c r="E423" t="s">
        <v>367</v>
      </c>
      <c r="F423" t="s">
        <v>365</v>
      </c>
    </row>
    <row r="424" spans="1:7" hidden="1" x14ac:dyDescent="0.25">
      <c r="A424" t="s">
        <v>384</v>
      </c>
      <c r="B424" t="s">
        <v>385</v>
      </c>
      <c r="C424" t="s">
        <v>477</v>
      </c>
      <c r="D424" t="s">
        <v>451</v>
      </c>
      <c r="E424" t="s">
        <v>452</v>
      </c>
      <c r="F424" t="s">
        <v>36</v>
      </c>
      <c r="G424" t="s">
        <v>453</v>
      </c>
    </row>
    <row r="425" spans="1:7" hidden="1" x14ac:dyDescent="0.25">
      <c r="A425" t="s">
        <v>384</v>
      </c>
      <c r="B425" t="s">
        <v>385</v>
      </c>
      <c r="C425" t="s">
        <v>499</v>
      </c>
      <c r="D425" t="s">
        <v>293</v>
      </c>
      <c r="E425" t="s">
        <v>387</v>
      </c>
      <c r="F425" t="s">
        <v>36</v>
      </c>
      <c r="G425" t="s">
        <v>37</v>
      </c>
    </row>
    <row r="426" spans="1:7" hidden="1" x14ac:dyDescent="0.25">
      <c r="A426" t="s">
        <v>384</v>
      </c>
      <c r="B426" t="s">
        <v>385</v>
      </c>
      <c r="C426" t="s">
        <v>499</v>
      </c>
      <c r="D426" t="s">
        <v>411</v>
      </c>
      <c r="E426" t="s">
        <v>412</v>
      </c>
      <c r="F426" t="s">
        <v>36</v>
      </c>
      <c r="G426" t="s">
        <v>90</v>
      </c>
    </row>
    <row r="427" spans="1:7" hidden="1" x14ac:dyDescent="0.25">
      <c r="A427" t="s">
        <v>384</v>
      </c>
      <c r="B427" t="s">
        <v>385</v>
      </c>
      <c r="C427" t="s">
        <v>499</v>
      </c>
      <c r="D427" t="s">
        <v>500</v>
      </c>
      <c r="E427" t="s">
        <v>167</v>
      </c>
      <c r="F427" t="s">
        <v>36</v>
      </c>
      <c r="G427" t="s">
        <v>168</v>
      </c>
    </row>
    <row r="428" spans="1:7" hidden="1" x14ac:dyDescent="0.25">
      <c r="A428" t="s">
        <v>384</v>
      </c>
      <c r="B428" t="s">
        <v>385</v>
      </c>
      <c r="C428" t="s">
        <v>501</v>
      </c>
      <c r="D428" t="s">
        <v>293</v>
      </c>
      <c r="E428" t="s">
        <v>387</v>
      </c>
      <c r="F428" t="s">
        <v>36</v>
      </c>
      <c r="G428" t="s">
        <v>40</v>
      </c>
    </row>
    <row r="429" spans="1:7" hidden="1" x14ac:dyDescent="0.25">
      <c r="A429" t="s">
        <v>384</v>
      </c>
      <c r="B429" t="s">
        <v>385</v>
      </c>
      <c r="C429" t="s">
        <v>501</v>
      </c>
      <c r="D429" t="s">
        <v>411</v>
      </c>
      <c r="E429" t="s">
        <v>412</v>
      </c>
      <c r="F429" t="s">
        <v>36</v>
      </c>
      <c r="G429" t="s">
        <v>90</v>
      </c>
    </row>
    <row r="430" spans="1:7" hidden="1" x14ac:dyDescent="0.25">
      <c r="A430" t="s">
        <v>384</v>
      </c>
      <c r="B430" t="s">
        <v>385</v>
      </c>
      <c r="C430" t="s">
        <v>501</v>
      </c>
      <c r="D430" t="s">
        <v>502</v>
      </c>
      <c r="E430" t="s">
        <v>171</v>
      </c>
      <c r="F430" t="s">
        <v>36</v>
      </c>
    </row>
    <row r="431" spans="1:7" hidden="1" x14ac:dyDescent="0.25">
      <c r="A431" t="s">
        <v>384</v>
      </c>
      <c r="B431" t="s">
        <v>385</v>
      </c>
      <c r="C431" t="s">
        <v>501</v>
      </c>
      <c r="D431" t="s">
        <v>503</v>
      </c>
      <c r="E431" t="s">
        <v>173</v>
      </c>
      <c r="F431" t="s">
        <v>36</v>
      </c>
    </row>
    <row r="432" spans="1:7" hidden="1" x14ac:dyDescent="0.25">
      <c r="A432" t="s">
        <v>384</v>
      </c>
      <c r="B432" t="s">
        <v>385</v>
      </c>
      <c r="C432" t="s">
        <v>501</v>
      </c>
      <c r="D432" t="s">
        <v>174</v>
      </c>
      <c r="E432" t="s">
        <v>175</v>
      </c>
      <c r="F432" t="s">
        <v>36</v>
      </c>
    </row>
    <row r="433" spans="1:7" x14ac:dyDescent="0.25">
      <c r="A433" t="s">
        <v>384</v>
      </c>
      <c r="B433" t="s">
        <v>385</v>
      </c>
      <c r="C433" t="s">
        <v>504</v>
      </c>
      <c r="D433" t="s">
        <v>34</v>
      </c>
      <c r="E433" t="s">
        <v>387</v>
      </c>
      <c r="F433" t="s">
        <v>36</v>
      </c>
      <c r="G433" t="s">
        <v>40</v>
      </c>
    </row>
    <row r="434" spans="1:7" x14ac:dyDescent="0.25">
      <c r="A434" t="s">
        <v>384</v>
      </c>
      <c r="B434" t="s">
        <v>385</v>
      </c>
      <c r="C434" t="s">
        <v>504</v>
      </c>
      <c r="D434" t="s">
        <v>88</v>
      </c>
      <c r="E434" t="s">
        <v>412</v>
      </c>
      <c r="F434" t="s">
        <v>36</v>
      </c>
      <c r="G434" t="s">
        <v>90</v>
      </c>
    </row>
    <row r="435" spans="1:7" x14ac:dyDescent="0.25">
      <c r="A435" t="s">
        <v>384</v>
      </c>
      <c r="B435" t="s">
        <v>385</v>
      </c>
      <c r="C435" t="s">
        <v>504</v>
      </c>
      <c r="D435" t="s">
        <v>34</v>
      </c>
      <c r="E435" t="s">
        <v>505</v>
      </c>
      <c r="F435" t="s">
        <v>36</v>
      </c>
      <c r="G435" t="s">
        <v>177</v>
      </c>
    </row>
    <row r="436" spans="1:7" x14ac:dyDescent="0.25">
      <c r="A436" t="s">
        <v>384</v>
      </c>
      <c r="B436" t="s">
        <v>385</v>
      </c>
      <c r="C436" t="s">
        <v>504</v>
      </c>
      <c r="D436" t="s">
        <v>88</v>
      </c>
      <c r="E436" t="s">
        <v>506</v>
      </c>
      <c r="F436" t="s">
        <v>36</v>
      </c>
      <c r="G436" t="s">
        <v>178</v>
      </c>
    </row>
    <row r="437" spans="1:7" x14ac:dyDescent="0.25">
      <c r="A437" t="s">
        <v>384</v>
      </c>
      <c r="B437" t="s">
        <v>385</v>
      </c>
      <c r="C437" t="s">
        <v>504</v>
      </c>
      <c r="D437" t="s">
        <v>102</v>
      </c>
      <c r="E437" t="s">
        <v>507</v>
      </c>
      <c r="F437" t="s">
        <v>36</v>
      </c>
    </row>
    <row r="438" spans="1:7" x14ac:dyDescent="0.25">
      <c r="A438" t="s">
        <v>384</v>
      </c>
      <c r="B438" t="s">
        <v>385</v>
      </c>
      <c r="C438" t="s">
        <v>504</v>
      </c>
      <c r="D438" t="s">
        <v>109</v>
      </c>
      <c r="E438" t="s">
        <v>17</v>
      </c>
      <c r="F438" t="s">
        <v>36</v>
      </c>
      <c r="G438" t="s">
        <v>180</v>
      </c>
    </row>
    <row r="439" spans="1:7" x14ac:dyDescent="0.25">
      <c r="A439" t="s">
        <v>384</v>
      </c>
      <c r="B439" t="s">
        <v>385</v>
      </c>
      <c r="C439" t="s">
        <v>504</v>
      </c>
      <c r="D439" t="s">
        <v>124</v>
      </c>
      <c r="E439" t="s">
        <v>19</v>
      </c>
      <c r="F439" t="s">
        <v>36</v>
      </c>
      <c r="G439" t="s">
        <v>183</v>
      </c>
    </row>
    <row r="440" spans="1:7" x14ac:dyDescent="0.25">
      <c r="A440" t="s">
        <v>384</v>
      </c>
      <c r="B440" t="s">
        <v>385</v>
      </c>
      <c r="C440" t="s">
        <v>504</v>
      </c>
      <c r="D440" t="s">
        <v>131</v>
      </c>
      <c r="E440" t="s">
        <v>18</v>
      </c>
      <c r="F440" t="s">
        <v>36</v>
      </c>
      <c r="G440" t="s">
        <v>182</v>
      </c>
    </row>
    <row r="441" spans="1:7" x14ac:dyDescent="0.25">
      <c r="A441" t="s">
        <v>384</v>
      </c>
      <c r="B441" t="s">
        <v>385</v>
      </c>
      <c r="C441" t="s">
        <v>504</v>
      </c>
      <c r="D441" t="s">
        <v>289</v>
      </c>
      <c r="E441" t="s">
        <v>20</v>
      </c>
      <c r="F441" t="s">
        <v>36</v>
      </c>
    </row>
    <row r="442" spans="1:7" hidden="1" x14ac:dyDescent="0.25">
      <c r="A442" t="s">
        <v>384</v>
      </c>
      <c r="B442" t="s">
        <v>385</v>
      </c>
      <c r="C442" t="s">
        <v>508</v>
      </c>
      <c r="D442" t="s">
        <v>34</v>
      </c>
      <c r="E442" t="s">
        <v>387</v>
      </c>
      <c r="F442" t="s">
        <v>36</v>
      </c>
      <c r="G442" t="s">
        <v>40</v>
      </c>
    </row>
    <row r="443" spans="1:7" hidden="1" x14ac:dyDescent="0.25">
      <c r="A443" t="s">
        <v>384</v>
      </c>
      <c r="B443" t="s">
        <v>385</v>
      </c>
      <c r="C443" t="s">
        <v>508</v>
      </c>
      <c r="D443" t="s">
        <v>88</v>
      </c>
      <c r="E443" t="s">
        <v>412</v>
      </c>
      <c r="F443" t="s">
        <v>36</v>
      </c>
      <c r="G443" t="s">
        <v>90</v>
      </c>
    </row>
    <row r="444" spans="1:7" hidden="1" x14ac:dyDescent="0.25">
      <c r="A444" t="s">
        <v>384</v>
      </c>
      <c r="B444" t="s">
        <v>385</v>
      </c>
      <c r="C444" t="s">
        <v>508</v>
      </c>
      <c r="D444" t="s">
        <v>465</v>
      </c>
      <c r="E444" t="s">
        <v>466</v>
      </c>
      <c r="F444" t="s">
        <v>306</v>
      </c>
      <c r="G444" t="s">
        <v>467</v>
      </c>
    </row>
    <row r="445" spans="1:7" hidden="1" x14ac:dyDescent="0.25">
      <c r="A445" t="s">
        <v>384</v>
      </c>
      <c r="B445" t="s">
        <v>385</v>
      </c>
      <c r="C445" t="s">
        <v>508</v>
      </c>
      <c r="D445" t="s">
        <v>468</v>
      </c>
      <c r="E445" t="s">
        <v>469</v>
      </c>
      <c r="F445" t="s">
        <v>306</v>
      </c>
      <c r="G445" t="s">
        <v>470</v>
      </c>
    </row>
    <row r="446" spans="1:7" hidden="1" x14ac:dyDescent="0.25">
      <c r="A446" t="s">
        <v>384</v>
      </c>
      <c r="B446" t="s">
        <v>385</v>
      </c>
      <c r="C446" t="s">
        <v>508</v>
      </c>
      <c r="D446" t="s">
        <v>471</v>
      </c>
      <c r="E446" t="s">
        <v>472</v>
      </c>
      <c r="F446" t="s">
        <v>306</v>
      </c>
      <c r="G446" t="s">
        <v>473</v>
      </c>
    </row>
    <row r="447" spans="1:7" hidden="1" x14ac:dyDescent="0.25">
      <c r="A447" t="s">
        <v>384</v>
      </c>
      <c r="B447" t="s">
        <v>385</v>
      </c>
      <c r="C447" t="s">
        <v>508</v>
      </c>
      <c r="D447" t="s">
        <v>474</v>
      </c>
      <c r="E447" t="s">
        <v>475</v>
      </c>
      <c r="F447" t="s">
        <v>306</v>
      </c>
      <c r="G447" t="s">
        <v>476</v>
      </c>
    </row>
    <row r="448" spans="1:7" hidden="1" x14ac:dyDescent="0.25">
      <c r="A448" t="s">
        <v>509</v>
      </c>
      <c r="B448" t="s">
        <v>510</v>
      </c>
      <c r="C448" t="s">
        <v>511</v>
      </c>
      <c r="D448" t="s">
        <v>34</v>
      </c>
      <c r="E448" t="s">
        <v>35</v>
      </c>
      <c r="F448" t="s">
        <v>36</v>
      </c>
      <c r="G448" t="s">
        <v>37</v>
      </c>
    </row>
    <row r="449" spans="1:7" hidden="1" x14ac:dyDescent="0.25">
      <c r="A449" t="s">
        <v>509</v>
      </c>
      <c r="B449" t="s">
        <v>510</v>
      </c>
      <c r="C449" t="s">
        <v>511</v>
      </c>
      <c r="D449" t="s">
        <v>38</v>
      </c>
      <c r="E449" t="s">
        <v>39</v>
      </c>
      <c r="F449" t="s">
        <v>36</v>
      </c>
      <c r="G449" t="s">
        <v>40</v>
      </c>
    </row>
    <row r="450" spans="1:7" hidden="1" x14ac:dyDescent="0.25">
      <c r="A450" t="s">
        <v>509</v>
      </c>
      <c r="B450" t="s">
        <v>510</v>
      </c>
      <c r="C450" t="s">
        <v>511</v>
      </c>
      <c r="D450" t="s">
        <v>41</v>
      </c>
      <c r="E450" t="s">
        <v>42</v>
      </c>
      <c r="F450" t="s">
        <v>36</v>
      </c>
      <c r="G450" t="s">
        <v>43</v>
      </c>
    </row>
    <row r="451" spans="1:7" hidden="1" x14ac:dyDescent="0.25">
      <c r="A451" t="s">
        <v>509</v>
      </c>
      <c r="B451" t="s">
        <v>510</v>
      </c>
      <c r="C451" t="s">
        <v>511</v>
      </c>
      <c r="D451" t="s">
        <v>44</v>
      </c>
      <c r="E451" t="s">
        <v>45</v>
      </c>
      <c r="F451" t="s">
        <v>36</v>
      </c>
      <c r="G451" t="s">
        <v>46</v>
      </c>
    </row>
    <row r="452" spans="1:7" hidden="1" x14ac:dyDescent="0.25">
      <c r="A452" t="s">
        <v>509</v>
      </c>
      <c r="B452" t="s">
        <v>510</v>
      </c>
      <c r="C452" t="s">
        <v>511</v>
      </c>
      <c r="D452" t="s">
        <v>47</v>
      </c>
      <c r="E452" t="s">
        <v>48</v>
      </c>
      <c r="F452" t="s">
        <v>36</v>
      </c>
      <c r="G452" t="s">
        <v>49</v>
      </c>
    </row>
    <row r="453" spans="1:7" hidden="1" x14ac:dyDescent="0.25">
      <c r="A453" t="s">
        <v>509</v>
      </c>
      <c r="B453" t="s">
        <v>510</v>
      </c>
      <c r="C453" t="s">
        <v>511</v>
      </c>
      <c r="D453" t="s">
        <v>50</v>
      </c>
      <c r="E453" t="s">
        <v>51</v>
      </c>
      <c r="F453" t="s">
        <v>36</v>
      </c>
      <c r="G453" t="s">
        <v>52</v>
      </c>
    </row>
    <row r="454" spans="1:7" hidden="1" x14ac:dyDescent="0.25">
      <c r="A454" t="s">
        <v>509</v>
      </c>
      <c r="B454" t="s">
        <v>510</v>
      </c>
      <c r="C454" t="s">
        <v>511</v>
      </c>
      <c r="D454" t="s">
        <v>53</v>
      </c>
      <c r="E454" t="s">
        <v>54</v>
      </c>
      <c r="F454" t="s">
        <v>36</v>
      </c>
      <c r="G454" t="s">
        <v>393</v>
      </c>
    </row>
    <row r="455" spans="1:7" hidden="1" x14ac:dyDescent="0.25">
      <c r="A455" t="s">
        <v>509</v>
      </c>
      <c r="B455" t="s">
        <v>510</v>
      </c>
      <c r="C455" t="s">
        <v>511</v>
      </c>
      <c r="D455" t="s">
        <v>56</v>
      </c>
      <c r="E455" t="s">
        <v>57</v>
      </c>
      <c r="F455" t="s">
        <v>36</v>
      </c>
      <c r="G455" t="s">
        <v>58</v>
      </c>
    </row>
    <row r="456" spans="1:7" hidden="1" x14ac:dyDescent="0.25">
      <c r="A456" t="s">
        <v>509</v>
      </c>
      <c r="B456" t="s">
        <v>510</v>
      </c>
      <c r="C456" t="s">
        <v>511</v>
      </c>
      <c r="D456" t="s">
        <v>59</v>
      </c>
      <c r="E456" t="s">
        <v>60</v>
      </c>
      <c r="F456" t="s">
        <v>36</v>
      </c>
      <c r="G456" t="s">
        <v>61</v>
      </c>
    </row>
    <row r="457" spans="1:7" hidden="1" x14ac:dyDescent="0.25">
      <c r="A457" t="s">
        <v>509</v>
      </c>
      <c r="B457" t="s">
        <v>510</v>
      </c>
      <c r="C457" t="s">
        <v>511</v>
      </c>
      <c r="D457" t="s">
        <v>62</v>
      </c>
      <c r="E457" t="s">
        <v>63</v>
      </c>
      <c r="F457" t="s">
        <v>36</v>
      </c>
      <c r="G457" t="s">
        <v>64</v>
      </c>
    </row>
    <row r="458" spans="1:7" hidden="1" x14ac:dyDescent="0.25">
      <c r="A458" t="s">
        <v>509</v>
      </c>
      <c r="B458" t="s">
        <v>510</v>
      </c>
      <c r="C458" t="s">
        <v>511</v>
      </c>
      <c r="D458" t="s">
        <v>65</v>
      </c>
      <c r="E458" t="s">
        <v>66</v>
      </c>
      <c r="F458" t="s">
        <v>36</v>
      </c>
    </row>
    <row r="459" spans="1:7" hidden="1" x14ac:dyDescent="0.25">
      <c r="A459" t="s">
        <v>509</v>
      </c>
      <c r="B459" t="s">
        <v>510</v>
      </c>
      <c r="C459" t="s">
        <v>511</v>
      </c>
      <c r="D459" t="s">
        <v>512</v>
      </c>
      <c r="E459" t="s">
        <v>513</v>
      </c>
      <c r="F459" t="s">
        <v>36</v>
      </c>
      <c r="G459" t="s">
        <v>514</v>
      </c>
    </row>
    <row r="460" spans="1:7" hidden="1" x14ac:dyDescent="0.25">
      <c r="A460" t="s">
        <v>509</v>
      </c>
      <c r="B460" t="s">
        <v>510</v>
      </c>
      <c r="C460" t="s">
        <v>511</v>
      </c>
      <c r="D460" t="s">
        <v>68</v>
      </c>
      <c r="E460" t="s">
        <v>69</v>
      </c>
      <c r="F460" t="s">
        <v>36</v>
      </c>
      <c r="G460" t="s">
        <v>70</v>
      </c>
    </row>
    <row r="461" spans="1:7" hidden="1" x14ac:dyDescent="0.25">
      <c r="A461" t="s">
        <v>509</v>
      </c>
      <c r="B461" t="s">
        <v>510</v>
      </c>
      <c r="C461" t="s">
        <v>511</v>
      </c>
      <c r="D461" t="s">
        <v>515</v>
      </c>
      <c r="E461" t="s">
        <v>516</v>
      </c>
      <c r="F461" t="s">
        <v>36</v>
      </c>
      <c r="G461" t="s">
        <v>517</v>
      </c>
    </row>
    <row r="462" spans="1:7" hidden="1" x14ac:dyDescent="0.25">
      <c r="A462" t="s">
        <v>509</v>
      </c>
      <c r="B462" t="s">
        <v>510</v>
      </c>
      <c r="C462" t="s">
        <v>511</v>
      </c>
      <c r="D462" t="s">
        <v>71</v>
      </c>
      <c r="E462" t="s">
        <v>72</v>
      </c>
      <c r="F462" t="s">
        <v>36</v>
      </c>
    </row>
    <row r="463" spans="1:7" hidden="1" x14ac:dyDescent="0.25">
      <c r="A463" t="s">
        <v>509</v>
      </c>
      <c r="B463" t="s">
        <v>510</v>
      </c>
      <c r="C463" t="s">
        <v>511</v>
      </c>
      <c r="D463" t="s">
        <v>518</v>
      </c>
      <c r="E463" t="s">
        <v>519</v>
      </c>
      <c r="F463" t="s">
        <v>36</v>
      </c>
      <c r="G463" t="s">
        <v>520</v>
      </c>
    </row>
    <row r="464" spans="1:7" hidden="1" x14ac:dyDescent="0.25">
      <c r="A464" t="s">
        <v>509</v>
      </c>
      <c r="B464" t="s">
        <v>510</v>
      </c>
      <c r="C464" t="s">
        <v>511</v>
      </c>
      <c r="D464" t="s">
        <v>521</v>
      </c>
      <c r="E464" t="s">
        <v>75</v>
      </c>
      <c r="F464" t="s">
        <v>36</v>
      </c>
      <c r="G464" t="s">
        <v>76</v>
      </c>
    </row>
    <row r="465" spans="1:7" hidden="1" x14ac:dyDescent="0.25">
      <c r="A465" t="s">
        <v>509</v>
      </c>
      <c r="B465" t="s">
        <v>510</v>
      </c>
      <c r="C465" t="s">
        <v>511</v>
      </c>
      <c r="E465" t="s">
        <v>84</v>
      </c>
      <c r="F465" t="s">
        <v>79</v>
      </c>
      <c r="G465" t="s">
        <v>85</v>
      </c>
    </row>
    <row r="466" spans="1:7" hidden="1" x14ac:dyDescent="0.25">
      <c r="A466" t="s">
        <v>509</v>
      </c>
      <c r="B466" t="s">
        <v>510</v>
      </c>
      <c r="C466" t="s">
        <v>522</v>
      </c>
      <c r="D466" t="s">
        <v>87</v>
      </c>
      <c r="E466" t="s">
        <v>35</v>
      </c>
      <c r="F466" t="s">
        <v>36</v>
      </c>
      <c r="G466" t="s">
        <v>37</v>
      </c>
    </row>
    <row r="467" spans="1:7" hidden="1" x14ac:dyDescent="0.25">
      <c r="A467" t="s">
        <v>509</v>
      </c>
      <c r="B467" t="s">
        <v>510</v>
      </c>
      <c r="C467" t="s">
        <v>522</v>
      </c>
      <c r="D467" t="s">
        <v>38</v>
      </c>
      <c r="E467" t="s">
        <v>39</v>
      </c>
      <c r="F467" t="s">
        <v>36</v>
      </c>
      <c r="G467" t="s">
        <v>40</v>
      </c>
    </row>
    <row r="468" spans="1:7" hidden="1" x14ac:dyDescent="0.25">
      <c r="A468" t="s">
        <v>509</v>
      </c>
      <c r="B468" t="s">
        <v>510</v>
      </c>
      <c r="C468" t="s">
        <v>522</v>
      </c>
      <c r="D468" t="s">
        <v>88</v>
      </c>
      <c r="E468" t="s">
        <v>89</v>
      </c>
      <c r="F468" t="s">
        <v>36</v>
      </c>
      <c r="G468" t="s">
        <v>90</v>
      </c>
    </row>
    <row r="469" spans="1:7" hidden="1" x14ac:dyDescent="0.25">
      <c r="A469" t="s">
        <v>509</v>
      </c>
      <c r="B469" t="s">
        <v>510</v>
      </c>
      <c r="C469" t="s">
        <v>522</v>
      </c>
      <c r="D469" t="s">
        <v>91</v>
      </c>
      <c r="E469" t="s">
        <v>92</v>
      </c>
      <c r="F469" t="s">
        <v>36</v>
      </c>
      <c r="G469" t="s">
        <v>93</v>
      </c>
    </row>
    <row r="470" spans="1:7" hidden="1" x14ac:dyDescent="0.25">
      <c r="A470" t="s">
        <v>509</v>
      </c>
      <c r="B470" t="s">
        <v>510</v>
      </c>
      <c r="C470" t="s">
        <v>522</v>
      </c>
      <c r="D470" t="s">
        <v>94</v>
      </c>
      <c r="E470" t="s">
        <v>95</v>
      </c>
      <c r="F470" t="s">
        <v>36</v>
      </c>
      <c r="G470" t="s">
        <v>96</v>
      </c>
    </row>
    <row r="471" spans="1:7" hidden="1" x14ac:dyDescent="0.25">
      <c r="A471" t="s">
        <v>509</v>
      </c>
      <c r="B471" t="s">
        <v>510</v>
      </c>
      <c r="C471" t="s">
        <v>522</v>
      </c>
      <c r="D471" t="s">
        <v>97</v>
      </c>
      <c r="E471" t="s">
        <v>98</v>
      </c>
      <c r="F471" t="s">
        <v>36</v>
      </c>
      <c r="G471" t="s">
        <v>138</v>
      </c>
    </row>
    <row r="472" spans="1:7" hidden="1" x14ac:dyDescent="0.25">
      <c r="A472" t="s">
        <v>509</v>
      </c>
      <c r="B472" t="s">
        <v>510</v>
      </c>
      <c r="C472" t="s">
        <v>522</v>
      </c>
      <c r="D472" t="s">
        <v>100</v>
      </c>
      <c r="E472" t="s">
        <v>101</v>
      </c>
      <c r="F472" t="s">
        <v>36</v>
      </c>
      <c r="G472" t="s">
        <v>64</v>
      </c>
    </row>
    <row r="473" spans="1:7" hidden="1" x14ac:dyDescent="0.25">
      <c r="A473" t="s">
        <v>509</v>
      </c>
      <c r="B473" t="s">
        <v>510</v>
      </c>
      <c r="C473" t="s">
        <v>522</v>
      </c>
      <c r="D473" t="s">
        <v>102</v>
      </c>
      <c r="E473" t="s">
        <v>103</v>
      </c>
      <c r="F473" t="s">
        <v>36</v>
      </c>
      <c r="G473" t="s">
        <v>104</v>
      </c>
    </row>
    <row r="474" spans="1:7" hidden="1" x14ac:dyDescent="0.25">
      <c r="A474" t="s">
        <v>509</v>
      </c>
      <c r="B474" t="s">
        <v>510</v>
      </c>
      <c r="C474" t="s">
        <v>522</v>
      </c>
      <c r="D474" t="s">
        <v>109</v>
      </c>
      <c r="E474" t="s">
        <v>110</v>
      </c>
      <c r="F474" t="s">
        <v>36</v>
      </c>
      <c r="G474" t="s">
        <v>111</v>
      </c>
    </row>
    <row r="475" spans="1:7" hidden="1" x14ac:dyDescent="0.25">
      <c r="A475" t="s">
        <v>509</v>
      </c>
      <c r="B475" t="s">
        <v>510</v>
      </c>
      <c r="C475" t="s">
        <v>522</v>
      </c>
      <c r="D475" t="s">
        <v>112</v>
      </c>
      <c r="E475" t="s">
        <v>113</v>
      </c>
      <c r="F475" t="s">
        <v>36</v>
      </c>
      <c r="G475" t="s">
        <v>114</v>
      </c>
    </row>
    <row r="476" spans="1:7" hidden="1" x14ac:dyDescent="0.25">
      <c r="A476" t="s">
        <v>509</v>
      </c>
      <c r="B476" t="s">
        <v>510</v>
      </c>
      <c r="C476" t="s">
        <v>522</v>
      </c>
      <c r="D476" t="s">
        <v>115</v>
      </c>
      <c r="E476" t="s">
        <v>116</v>
      </c>
      <c r="F476" t="s">
        <v>36</v>
      </c>
      <c r="G476" t="s">
        <v>117</v>
      </c>
    </row>
    <row r="477" spans="1:7" hidden="1" x14ac:dyDescent="0.25">
      <c r="A477" t="s">
        <v>509</v>
      </c>
      <c r="B477" t="s">
        <v>510</v>
      </c>
      <c r="C477" t="s">
        <v>522</v>
      </c>
      <c r="D477" t="s">
        <v>121</v>
      </c>
      <c r="E477" t="s">
        <v>119</v>
      </c>
      <c r="F477" t="s">
        <v>36</v>
      </c>
      <c r="G477" t="s">
        <v>120</v>
      </c>
    </row>
    <row r="478" spans="1:7" hidden="1" x14ac:dyDescent="0.25">
      <c r="A478" t="s">
        <v>509</v>
      </c>
      <c r="B478" t="s">
        <v>510</v>
      </c>
      <c r="C478" t="s">
        <v>522</v>
      </c>
      <c r="D478" t="s">
        <v>124</v>
      </c>
      <c r="E478" t="s">
        <v>122</v>
      </c>
      <c r="F478" t="s">
        <v>36</v>
      </c>
      <c r="G478" t="s">
        <v>123</v>
      </c>
    </row>
    <row r="479" spans="1:7" hidden="1" x14ac:dyDescent="0.25">
      <c r="A479" t="s">
        <v>509</v>
      </c>
      <c r="B479" t="s">
        <v>510</v>
      </c>
      <c r="C479" t="s">
        <v>522</v>
      </c>
      <c r="D479" t="s">
        <v>129</v>
      </c>
      <c r="E479" t="s">
        <v>127</v>
      </c>
      <c r="F479" t="s">
        <v>36</v>
      </c>
      <c r="G479" t="s">
        <v>128</v>
      </c>
    </row>
    <row r="480" spans="1:7" hidden="1" x14ac:dyDescent="0.25">
      <c r="A480" t="s">
        <v>509</v>
      </c>
      <c r="B480" t="s">
        <v>510</v>
      </c>
      <c r="C480" t="s">
        <v>522</v>
      </c>
      <c r="D480" t="s">
        <v>131</v>
      </c>
      <c r="E480" t="s">
        <v>523</v>
      </c>
      <c r="F480" t="s">
        <v>36</v>
      </c>
      <c r="G480" t="s">
        <v>429</v>
      </c>
    </row>
    <row r="481" spans="1:7" hidden="1" x14ac:dyDescent="0.25">
      <c r="A481" t="s">
        <v>509</v>
      </c>
      <c r="B481" t="s">
        <v>510</v>
      </c>
      <c r="C481" t="s">
        <v>522</v>
      </c>
      <c r="D481" t="s">
        <v>134</v>
      </c>
      <c r="E481" t="s">
        <v>18</v>
      </c>
      <c r="F481" t="s">
        <v>36</v>
      </c>
      <c r="G481" t="s">
        <v>125</v>
      </c>
    </row>
    <row r="482" spans="1:7" hidden="1" x14ac:dyDescent="0.25">
      <c r="A482" t="s">
        <v>509</v>
      </c>
      <c r="B482" t="s">
        <v>510</v>
      </c>
      <c r="C482" t="s">
        <v>522</v>
      </c>
      <c r="D482" t="s">
        <v>136</v>
      </c>
      <c r="E482" t="s">
        <v>328</v>
      </c>
      <c r="F482" t="s">
        <v>36</v>
      </c>
      <c r="G482" t="s">
        <v>524</v>
      </c>
    </row>
    <row r="483" spans="1:7" hidden="1" x14ac:dyDescent="0.25">
      <c r="A483" t="s">
        <v>509</v>
      </c>
      <c r="B483" t="s">
        <v>510</v>
      </c>
      <c r="C483" t="s">
        <v>522</v>
      </c>
      <c r="D483" t="s">
        <v>334</v>
      </c>
      <c r="E483" t="s">
        <v>525</v>
      </c>
      <c r="F483" t="s">
        <v>36</v>
      </c>
      <c r="G483" t="s">
        <v>435</v>
      </c>
    </row>
    <row r="484" spans="1:7" hidden="1" x14ac:dyDescent="0.25">
      <c r="A484" t="s">
        <v>509</v>
      </c>
      <c r="B484" t="s">
        <v>510</v>
      </c>
      <c r="C484" t="s">
        <v>522</v>
      </c>
      <c r="D484" t="s">
        <v>139</v>
      </c>
      <c r="E484" t="s">
        <v>130</v>
      </c>
      <c r="F484" t="s">
        <v>36</v>
      </c>
      <c r="G484" t="s">
        <v>393</v>
      </c>
    </row>
    <row r="485" spans="1:7" hidden="1" x14ac:dyDescent="0.25">
      <c r="A485" t="s">
        <v>509</v>
      </c>
      <c r="B485" t="s">
        <v>510</v>
      </c>
      <c r="C485" t="s">
        <v>522</v>
      </c>
      <c r="D485" t="s">
        <v>337</v>
      </c>
      <c r="E485" t="s">
        <v>526</v>
      </c>
      <c r="F485" t="s">
        <v>36</v>
      </c>
      <c r="G485" t="s">
        <v>243</v>
      </c>
    </row>
    <row r="486" spans="1:7" hidden="1" x14ac:dyDescent="0.25">
      <c r="A486" t="s">
        <v>509</v>
      </c>
      <c r="B486" t="s">
        <v>510</v>
      </c>
      <c r="C486" t="s">
        <v>522</v>
      </c>
      <c r="D486" t="s">
        <v>341</v>
      </c>
      <c r="E486" t="s">
        <v>132</v>
      </c>
      <c r="F486" t="s">
        <v>36</v>
      </c>
      <c r="G486" t="s">
        <v>133</v>
      </c>
    </row>
    <row r="487" spans="1:7" hidden="1" x14ac:dyDescent="0.25">
      <c r="A487" t="s">
        <v>509</v>
      </c>
      <c r="B487" t="s">
        <v>510</v>
      </c>
      <c r="C487" t="s">
        <v>522</v>
      </c>
      <c r="D487" t="s">
        <v>344</v>
      </c>
      <c r="E487" t="s">
        <v>527</v>
      </c>
      <c r="F487" t="s">
        <v>36</v>
      </c>
      <c r="G487" t="s">
        <v>441</v>
      </c>
    </row>
    <row r="488" spans="1:7" hidden="1" x14ac:dyDescent="0.25">
      <c r="A488" t="s">
        <v>509</v>
      </c>
      <c r="B488" t="s">
        <v>510</v>
      </c>
      <c r="C488" t="s">
        <v>522</v>
      </c>
      <c r="D488" t="s">
        <v>528</v>
      </c>
      <c r="E488" t="s">
        <v>338</v>
      </c>
      <c r="F488" t="s">
        <v>36</v>
      </c>
      <c r="G488" t="s">
        <v>443</v>
      </c>
    </row>
    <row r="489" spans="1:7" hidden="1" x14ac:dyDescent="0.25">
      <c r="A489" t="s">
        <v>509</v>
      </c>
      <c r="B489" t="s">
        <v>510</v>
      </c>
      <c r="C489" t="s">
        <v>522</v>
      </c>
      <c r="D489" t="s">
        <v>529</v>
      </c>
      <c r="E489" t="s">
        <v>530</v>
      </c>
      <c r="F489" t="s">
        <v>36</v>
      </c>
      <c r="G489" t="s">
        <v>445</v>
      </c>
    </row>
    <row r="490" spans="1:7" hidden="1" x14ac:dyDescent="0.25">
      <c r="A490" t="s">
        <v>509</v>
      </c>
      <c r="B490" t="s">
        <v>510</v>
      </c>
      <c r="C490" t="s">
        <v>522</v>
      </c>
      <c r="E490" t="s">
        <v>84</v>
      </c>
      <c r="F490" t="s">
        <v>79</v>
      </c>
      <c r="G490" t="s">
        <v>85</v>
      </c>
    </row>
    <row r="491" spans="1:7" hidden="1" x14ac:dyDescent="0.25">
      <c r="A491" t="s">
        <v>509</v>
      </c>
      <c r="B491" t="s">
        <v>510</v>
      </c>
      <c r="C491" t="s">
        <v>531</v>
      </c>
      <c r="D491" t="s">
        <v>34</v>
      </c>
      <c r="E491" t="s">
        <v>35</v>
      </c>
      <c r="F491" t="s">
        <v>36</v>
      </c>
      <c r="G491" t="s">
        <v>37</v>
      </c>
    </row>
    <row r="492" spans="1:7" hidden="1" x14ac:dyDescent="0.25">
      <c r="A492" t="s">
        <v>509</v>
      </c>
      <c r="B492" t="s">
        <v>510</v>
      </c>
      <c r="C492" t="s">
        <v>531</v>
      </c>
      <c r="D492" t="s">
        <v>38</v>
      </c>
      <c r="E492" t="s">
        <v>39</v>
      </c>
      <c r="F492" t="s">
        <v>36</v>
      </c>
      <c r="G492" t="s">
        <v>40</v>
      </c>
    </row>
    <row r="493" spans="1:7" hidden="1" x14ac:dyDescent="0.25">
      <c r="A493" t="s">
        <v>509</v>
      </c>
      <c r="B493" t="s">
        <v>510</v>
      </c>
      <c r="C493" t="s">
        <v>531</v>
      </c>
      <c r="D493" t="s">
        <v>88</v>
      </c>
      <c r="E493" t="s">
        <v>89</v>
      </c>
      <c r="F493" t="s">
        <v>36</v>
      </c>
      <c r="G493" t="s">
        <v>90</v>
      </c>
    </row>
    <row r="494" spans="1:7" hidden="1" x14ac:dyDescent="0.25">
      <c r="A494" t="s">
        <v>509</v>
      </c>
      <c r="B494" t="s">
        <v>510</v>
      </c>
      <c r="C494" t="s">
        <v>531</v>
      </c>
      <c r="D494" t="s">
        <v>143</v>
      </c>
      <c r="E494" t="s">
        <v>159</v>
      </c>
      <c r="F494" t="s">
        <v>36</v>
      </c>
      <c r="G494" t="s">
        <v>160</v>
      </c>
    </row>
    <row r="495" spans="1:7" hidden="1" x14ac:dyDescent="0.25">
      <c r="A495" t="s">
        <v>509</v>
      </c>
      <c r="B495" t="s">
        <v>510</v>
      </c>
      <c r="C495" t="s">
        <v>531</v>
      </c>
      <c r="D495" t="s">
        <v>146</v>
      </c>
      <c r="E495" t="s">
        <v>162</v>
      </c>
      <c r="F495" t="s">
        <v>36</v>
      </c>
      <c r="G495" t="s">
        <v>163</v>
      </c>
    </row>
    <row r="496" spans="1:7" hidden="1" x14ac:dyDescent="0.25">
      <c r="A496" t="s">
        <v>509</v>
      </c>
      <c r="B496" t="s">
        <v>510</v>
      </c>
      <c r="C496" t="s">
        <v>531</v>
      </c>
      <c r="D496" t="s">
        <v>149</v>
      </c>
      <c r="E496" t="s">
        <v>144</v>
      </c>
      <c r="F496" t="s">
        <v>36</v>
      </c>
      <c r="G496" t="s">
        <v>145</v>
      </c>
    </row>
    <row r="497" spans="1:7" hidden="1" x14ac:dyDescent="0.25">
      <c r="A497" t="s">
        <v>509</v>
      </c>
      <c r="B497" t="s">
        <v>510</v>
      </c>
      <c r="C497" t="s">
        <v>531</v>
      </c>
      <c r="D497" t="s">
        <v>352</v>
      </c>
      <c r="E497" t="s">
        <v>147</v>
      </c>
      <c r="F497" t="s">
        <v>36</v>
      </c>
      <c r="G497" t="s">
        <v>148</v>
      </c>
    </row>
    <row r="498" spans="1:7" hidden="1" x14ac:dyDescent="0.25">
      <c r="A498" t="s">
        <v>509</v>
      </c>
      <c r="B498" t="s">
        <v>510</v>
      </c>
      <c r="C498" t="s">
        <v>531</v>
      </c>
      <c r="D498" t="s">
        <v>155</v>
      </c>
      <c r="E498" t="s">
        <v>150</v>
      </c>
      <c r="F498" t="s">
        <v>36</v>
      </c>
      <c r="G498" t="s">
        <v>151</v>
      </c>
    </row>
    <row r="499" spans="1:7" hidden="1" x14ac:dyDescent="0.25">
      <c r="A499" t="s">
        <v>509</v>
      </c>
      <c r="B499" t="s">
        <v>510</v>
      </c>
      <c r="C499" t="s">
        <v>531</v>
      </c>
      <c r="D499" t="s">
        <v>158</v>
      </c>
      <c r="E499" t="s">
        <v>532</v>
      </c>
      <c r="F499" t="s">
        <v>36</v>
      </c>
      <c r="G499" t="s">
        <v>252</v>
      </c>
    </row>
    <row r="500" spans="1:7" hidden="1" x14ac:dyDescent="0.25">
      <c r="A500" t="s">
        <v>509</v>
      </c>
      <c r="B500" t="s">
        <v>510</v>
      </c>
      <c r="C500" t="s">
        <v>531</v>
      </c>
      <c r="D500" t="s">
        <v>161</v>
      </c>
      <c r="E500" t="s">
        <v>533</v>
      </c>
      <c r="F500" t="s">
        <v>36</v>
      </c>
      <c r="G500" t="s">
        <v>157</v>
      </c>
    </row>
    <row r="501" spans="1:7" hidden="1" x14ac:dyDescent="0.25">
      <c r="A501" t="s">
        <v>509</v>
      </c>
      <c r="B501" t="s">
        <v>510</v>
      </c>
      <c r="C501" t="s">
        <v>534</v>
      </c>
      <c r="D501" t="s">
        <v>293</v>
      </c>
      <c r="E501" t="s">
        <v>294</v>
      </c>
      <c r="F501" t="s">
        <v>36</v>
      </c>
      <c r="G501" t="s">
        <v>37</v>
      </c>
    </row>
    <row r="502" spans="1:7" hidden="1" x14ac:dyDescent="0.25">
      <c r="A502" t="s">
        <v>509</v>
      </c>
      <c r="B502" t="s">
        <v>510</v>
      </c>
      <c r="C502" t="s">
        <v>534</v>
      </c>
      <c r="D502" t="s">
        <v>88</v>
      </c>
      <c r="E502" t="s">
        <v>89</v>
      </c>
      <c r="F502" t="s">
        <v>36</v>
      </c>
      <c r="G502" t="s">
        <v>90</v>
      </c>
    </row>
    <row r="503" spans="1:7" hidden="1" x14ac:dyDescent="0.25">
      <c r="A503" t="s">
        <v>509</v>
      </c>
      <c r="B503" t="s">
        <v>510</v>
      </c>
      <c r="C503" t="s">
        <v>534</v>
      </c>
      <c r="D503" t="s">
        <v>166</v>
      </c>
      <c r="E503" t="s">
        <v>167</v>
      </c>
      <c r="F503" t="s">
        <v>36</v>
      </c>
      <c r="G503" t="s">
        <v>168</v>
      </c>
    </row>
    <row r="504" spans="1:7" hidden="1" x14ac:dyDescent="0.25">
      <c r="A504" t="s">
        <v>509</v>
      </c>
      <c r="B504" t="s">
        <v>510</v>
      </c>
      <c r="C504" t="s">
        <v>535</v>
      </c>
      <c r="D504" t="s">
        <v>87</v>
      </c>
      <c r="E504" t="s">
        <v>35</v>
      </c>
      <c r="F504" t="s">
        <v>36</v>
      </c>
      <c r="G504" t="s">
        <v>40</v>
      </c>
    </row>
    <row r="505" spans="1:7" hidden="1" x14ac:dyDescent="0.25">
      <c r="A505" t="s">
        <v>509</v>
      </c>
      <c r="B505" t="s">
        <v>510</v>
      </c>
      <c r="C505" t="s">
        <v>535</v>
      </c>
      <c r="D505" t="s">
        <v>88</v>
      </c>
      <c r="E505" t="s">
        <v>89</v>
      </c>
      <c r="F505" t="s">
        <v>36</v>
      </c>
      <c r="G505" t="s">
        <v>90</v>
      </c>
    </row>
    <row r="506" spans="1:7" hidden="1" x14ac:dyDescent="0.25">
      <c r="A506" t="s">
        <v>509</v>
      </c>
      <c r="B506" t="s">
        <v>510</v>
      </c>
      <c r="C506" t="s">
        <v>535</v>
      </c>
      <c r="D506" t="s">
        <v>170</v>
      </c>
      <c r="E506" t="s">
        <v>171</v>
      </c>
      <c r="F506" t="s">
        <v>36</v>
      </c>
    </row>
    <row r="507" spans="1:7" hidden="1" x14ac:dyDescent="0.25">
      <c r="A507" t="s">
        <v>509</v>
      </c>
      <c r="B507" t="s">
        <v>510</v>
      </c>
      <c r="C507" t="s">
        <v>535</v>
      </c>
      <c r="D507" t="s">
        <v>172</v>
      </c>
      <c r="E507" t="s">
        <v>173</v>
      </c>
      <c r="F507" t="s">
        <v>36</v>
      </c>
    </row>
    <row r="508" spans="1:7" hidden="1" x14ac:dyDescent="0.25">
      <c r="A508" t="s">
        <v>509</v>
      </c>
      <c r="B508" t="s">
        <v>510</v>
      </c>
      <c r="C508" t="s">
        <v>535</v>
      </c>
      <c r="D508" t="s">
        <v>174</v>
      </c>
      <c r="E508" t="s">
        <v>175</v>
      </c>
      <c r="F508" t="s">
        <v>36</v>
      </c>
    </row>
    <row r="509" spans="1:7" x14ac:dyDescent="0.25">
      <c r="A509" t="s">
        <v>509</v>
      </c>
      <c r="B509" t="s">
        <v>510</v>
      </c>
      <c r="C509" t="s">
        <v>536</v>
      </c>
      <c r="D509" t="s">
        <v>34</v>
      </c>
      <c r="E509" t="s">
        <v>35</v>
      </c>
      <c r="F509" t="s">
        <v>36</v>
      </c>
      <c r="G509" t="s">
        <v>37</v>
      </c>
    </row>
    <row r="510" spans="1:7" x14ac:dyDescent="0.25">
      <c r="A510" t="s">
        <v>509</v>
      </c>
      <c r="B510" t="s">
        <v>510</v>
      </c>
      <c r="C510" t="s">
        <v>536</v>
      </c>
      <c r="D510" t="s">
        <v>38</v>
      </c>
      <c r="E510" t="s">
        <v>39</v>
      </c>
      <c r="F510" t="s">
        <v>36</v>
      </c>
      <c r="G510" t="s">
        <v>40</v>
      </c>
    </row>
    <row r="511" spans="1:7" x14ac:dyDescent="0.25">
      <c r="A511" t="s">
        <v>509</v>
      </c>
      <c r="B511" t="s">
        <v>510</v>
      </c>
      <c r="C511" t="s">
        <v>536</v>
      </c>
      <c r="D511" t="s">
        <v>88</v>
      </c>
      <c r="E511" t="s">
        <v>89</v>
      </c>
      <c r="F511" t="s">
        <v>36</v>
      </c>
      <c r="G511" t="s">
        <v>90</v>
      </c>
    </row>
    <row r="512" spans="1:7" x14ac:dyDescent="0.25">
      <c r="A512" t="s">
        <v>509</v>
      </c>
      <c r="B512" t="s">
        <v>510</v>
      </c>
      <c r="C512" t="s">
        <v>536</v>
      </c>
      <c r="D512" t="s">
        <v>34</v>
      </c>
      <c r="E512" t="s">
        <v>14</v>
      </c>
      <c r="F512" t="s">
        <v>36</v>
      </c>
      <c r="G512" t="s">
        <v>177</v>
      </c>
    </row>
    <row r="513" spans="1:7" x14ac:dyDescent="0.25">
      <c r="A513" t="s">
        <v>509</v>
      </c>
      <c r="B513" t="s">
        <v>510</v>
      </c>
      <c r="C513" t="s">
        <v>536</v>
      </c>
      <c r="D513" t="s">
        <v>88</v>
      </c>
      <c r="E513" t="s">
        <v>15</v>
      </c>
      <c r="F513" t="s">
        <v>36</v>
      </c>
      <c r="G513" t="s">
        <v>178</v>
      </c>
    </row>
    <row r="514" spans="1:7" x14ac:dyDescent="0.25">
      <c r="A514" t="s">
        <v>509</v>
      </c>
      <c r="B514" t="s">
        <v>510</v>
      </c>
      <c r="C514" t="s">
        <v>536</v>
      </c>
      <c r="D514" t="s">
        <v>109</v>
      </c>
      <c r="E514" t="s">
        <v>16</v>
      </c>
      <c r="F514" t="s">
        <v>36</v>
      </c>
    </row>
    <row r="515" spans="1:7" x14ac:dyDescent="0.25">
      <c r="A515" t="s">
        <v>509</v>
      </c>
      <c r="B515" t="s">
        <v>510</v>
      </c>
      <c r="C515" t="s">
        <v>536</v>
      </c>
      <c r="D515" t="s">
        <v>115</v>
      </c>
      <c r="E515" t="s">
        <v>17</v>
      </c>
      <c r="F515" t="s">
        <v>36</v>
      </c>
      <c r="G515" t="s">
        <v>180</v>
      </c>
    </row>
    <row r="516" spans="1:7" x14ac:dyDescent="0.25">
      <c r="A516" t="s">
        <v>509</v>
      </c>
      <c r="B516" t="s">
        <v>510</v>
      </c>
      <c r="C516" t="s">
        <v>536</v>
      </c>
      <c r="D516" t="s">
        <v>134</v>
      </c>
      <c r="E516" t="s">
        <v>18</v>
      </c>
      <c r="F516" t="s">
        <v>36</v>
      </c>
      <c r="G516" t="s">
        <v>182</v>
      </c>
    </row>
    <row r="517" spans="1:7" x14ac:dyDescent="0.25">
      <c r="A517" t="s">
        <v>509</v>
      </c>
      <c r="B517" t="s">
        <v>510</v>
      </c>
      <c r="C517" t="s">
        <v>536</v>
      </c>
      <c r="D517" t="s">
        <v>288</v>
      </c>
      <c r="E517" t="s">
        <v>127</v>
      </c>
      <c r="F517" t="s">
        <v>36</v>
      </c>
      <c r="G517" t="s">
        <v>183</v>
      </c>
    </row>
    <row r="518" spans="1:7" x14ac:dyDescent="0.25">
      <c r="A518" t="s">
        <v>509</v>
      </c>
      <c r="B518" t="s">
        <v>510</v>
      </c>
      <c r="C518" t="s">
        <v>536</v>
      </c>
      <c r="D518" t="s">
        <v>289</v>
      </c>
      <c r="E518" t="s">
        <v>20</v>
      </c>
      <c r="F518" t="s">
        <v>36</v>
      </c>
    </row>
    <row r="519" spans="1:7" hidden="1" x14ac:dyDescent="0.25">
      <c r="A519" t="s">
        <v>509</v>
      </c>
      <c r="B519" t="s">
        <v>510</v>
      </c>
      <c r="C519" t="s">
        <v>537</v>
      </c>
      <c r="D519" t="s">
        <v>186</v>
      </c>
      <c r="E519" t="s">
        <v>35</v>
      </c>
      <c r="F519" t="s">
        <v>36</v>
      </c>
    </row>
    <row r="520" spans="1:7" hidden="1" x14ac:dyDescent="0.25">
      <c r="A520" t="s">
        <v>509</v>
      </c>
      <c r="B520" t="s">
        <v>510</v>
      </c>
      <c r="C520" t="s">
        <v>537</v>
      </c>
      <c r="D520" t="s">
        <v>187</v>
      </c>
      <c r="E520" t="s">
        <v>89</v>
      </c>
      <c r="F520" t="s">
        <v>36</v>
      </c>
    </row>
    <row r="521" spans="1:7" hidden="1" x14ac:dyDescent="0.25">
      <c r="A521" t="s">
        <v>509</v>
      </c>
      <c r="B521" t="s">
        <v>510</v>
      </c>
      <c r="C521" t="s">
        <v>537</v>
      </c>
      <c r="D521" t="s">
        <v>188</v>
      </c>
      <c r="E521" t="s">
        <v>189</v>
      </c>
      <c r="F521" t="s">
        <v>36</v>
      </c>
    </row>
    <row r="522" spans="1:7" hidden="1" x14ac:dyDescent="0.25">
      <c r="A522" t="s">
        <v>509</v>
      </c>
      <c r="B522" t="s">
        <v>510</v>
      </c>
      <c r="C522" t="s">
        <v>537</v>
      </c>
      <c r="D522" t="s">
        <v>190</v>
      </c>
      <c r="E522" t="s">
        <v>191</v>
      </c>
      <c r="F522" t="s">
        <v>36</v>
      </c>
    </row>
    <row r="523" spans="1:7" hidden="1" x14ac:dyDescent="0.25">
      <c r="A523" t="s">
        <v>509</v>
      </c>
      <c r="B523" t="s">
        <v>510</v>
      </c>
      <c r="C523" t="s">
        <v>537</v>
      </c>
      <c r="D523" t="s">
        <v>192</v>
      </c>
      <c r="E523" t="s">
        <v>173</v>
      </c>
      <c r="F523" t="s">
        <v>36</v>
      </c>
    </row>
    <row r="524" spans="1:7" hidden="1" x14ac:dyDescent="0.25">
      <c r="A524" t="s">
        <v>509</v>
      </c>
      <c r="B524" t="s">
        <v>510</v>
      </c>
      <c r="C524" t="s">
        <v>537</v>
      </c>
      <c r="D524" t="s">
        <v>193</v>
      </c>
      <c r="E524" t="s">
        <v>194</v>
      </c>
      <c r="F524" t="s">
        <v>36</v>
      </c>
    </row>
    <row r="525" spans="1:7" hidden="1" x14ac:dyDescent="0.25">
      <c r="A525" t="s">
        <v>509</v>
      </c>
      <c r="B525" t="s">
        <v>510</v>
      </c>
      <c r="C525" t="s">
        <v>537</v>
      </c>
      <c r="D525" t="s">
        <v>195</v>
      </c>
      <c r="E525" t="s">
        <v>196</v>
      </c>
      <c r="F525" t="s">
        <v>36</v>
      </c>
    </row>
    <row r="526" spans="1:7" hidden="1" x14ac:dyDescent="0.25">
      <c r="A526" t="s">
        <v>509</v>
      </c>
      <c r="B526" t="s">
        <v>510</v>
      </c>
      <c r="C526" t="s">
        <v>537</v>
      </c>
      <c r="D526" t="s">
        <v>197</v>
      </c>
      <c r="E526" t="s">
        <v>198</v>
      </c>
      <c r="F526" t="s">
        <v>36</v>
      </c>
    </row>
    <row r="527" spans="1:7" hidden="1" x14ac:dyDescent="0.25">
      <c r="A527" t="s">
        <v>538</v>
      </c>
      <c r="B527" t="s">
        <v>539</v>
      </c>
      <c r="C527" t="s">
        <v>540</v>
      </c>
      <c r="D527" t="s">
        <v>34</v>
      </c>
      <c r="E527" t="s">
        <v>35</v>
      </c>
      <c r="F527" t="s">
        <v>36</v>
      </c>
      <c r="G527" t="s">
        <v>37</v>
      </c>
    </row>
    <row r="528" spans="1:7" hidden="1" x14ac:dyDescent="0.25">
      <c r="A528" t="s">
        <v>538</v>
      </c>
      <c r="B528" t="s">
        <v>539</v>
      </c>
      <c r="C528" t="s">
        <v>540</v>
      </c>
      <c r="D528" t="s">
        <v>38</v>
      </c>
      <c r="E528" t="s">
        <v>39</v>
      </c>
      <c r="F528" t="s">
        <v>36</v>
      </c>
      <c r="G528" t="s">
        <v>40</v>
      </c>
    </row>
    <row r="529" spans="1:7" hidden="1" x14ac:dyDescent="0.25">
      <c r="A529" t="s">
        <v>538</v>
      </c>
      <c r="B529" t="s">
        <v>539</v>
      </c>
      <c r="C529" t="s">
        <v>540</v>
      </c>
      <c r="D529" t="s">
        <v>41</v>
      </c>
      <c r="E529" t="s">
        <v>42</v>
      </c>
      <c r="F529" t="s">
        <v>36</v>
      </c>
      <c r="G529" t="s">
        <v>297</v>
      </c>
    </row>
    <row r="530" spans="1:7" hidden="1" x14ac:dyDescent="0.25">
      <c r="A530" t="s">
        <v>538</v>
      </c>
      <c r="B530" t="s">
        <v>539</v>
      </c>
      <c r="C530" t="s">
        <v>540</v>
      </c>
      <c r="D530" t="s">
        <v>44</v>
      </c>
      <c r="E530" t="s">
        <v>45</v>
      </c>
      <c r="F530" t="s">
        <v>36</v>
      </c>
      <c r="G530" t="s">
        <v>46</v>
      </c>
    </row>
    <row r="531" spans="1:7" hidden="1" x14ac:dyDescent="0.25">
      <c r="A531" t="s">
        <v>538</v>
      </c>
      <c r="B531" t="s">
        <v>539</v>
      </c>
      <c r="C531" t="s">
        <v>540</v>
      </c>
      <c r="D531" t="s">
        <v>47</v>
      </c>
      <c r="E531" t="s">
        <v>48</v>
      </c>
      <c r="F531" t="s">
        <v>36</v>
      </c>
      <c r="G531" t="s">
        <v>49</v>
      </c>
    </row>
    <row r="532" spans="1:7" hidden="1" x14ac:dyDescent="0.25">
      <c r="A532" t="s">
        <v>538</v>
      </c>
      <c r="B532" t="s">
        <v>539</v>
      </c>
      <c r="C532" t="s">
        <v>540</v>
      </c>
      <c r="D532" t="s">
        <v>50</v>
      </c>
      <c r="E532" t="s">
        <v>51</v>
      </c>
      <c r="F532" t="s">
        <v>36</v>
      </c>
      <c r="G532" t="s">
        <v>52</v>
      </c>
    </row>
    <row r="533" spans="1:7" hidden="1" x14ac:dyDescent="0.25">
      <c r="A533" t="s">
        <v>538</v>
      </c>
      <c r="B533" t="s">
        <v>539</v>
      </c>
      <c r="C533" t="s">
        <v>540</v>
      </c>
      <c r="D533" t="s">
        <v>53</v>
      </c>
      <c r="E533" t="s">
        <v>541</v>
      </c>
      <c r="F533" t="s">
        <v>36</v>
      </c>
      <c r="G533" t="s">
        <v>393</v>
      </c>
    </row>
    <row r="534" spans="1:7" hidden="1" x14ac:dyDescent="0.25">
      <c r="A534" t="s">
        <v>538</v>
      </c>
      <c r="B534" t="s">
        <v>539</v>
      </c>
      <c r="C534" t="s">
        <v>540</v>
      </c>
      <c r="D534" t="s">
        <v>56</v>
      </c>
      <c r="E534" t="s">
        <v>57</v>
      </c>
      <c r="F534" t="s">
        <v>36</v>
      </c>
      <c r="G534" t="s">
        <v>58</v>
      </c>
    </row>
    <row r="535" spans="1:7" hidden="1" x14ac:dyDescent="0.25">
      <c r="A535" t="s">
        <v>538</v>
      </c>
      <c r="B535" t="s">
        <v>539</v>
      </c>
      <c r="C535" t="s">
        <v>540</v>
      </c>
      <c r="D535" t="s">
        <v>59</v>
      </c>
      <c r="E535" t="s">
        <v>60</v>
      </c>
      <c r="F535" t="s">
        <v>36</v>
      </c>
      <c r="G535" t="s">
        <v>61</v>
      </c>
    </row>
    <row r="536" spans="1:7" hidden="1" x14ac:dyDescent="0.25">
      <c r="A536" t="s">
        <v>538</v>
      </c>
      <c r="B536" t="s">
        <v>539</v>
      </c>
      <c r="C536" t="s">
        <v>540</v>
      </c>
      <c r="D536" t="s">
        <v>62</v>
      </c>
      <c r="E536" t="s">
        <v>542</v>
      </c>
      <c r="F536" t="s">
        <v>36</v>
      </c>
      <c r="G536" t="s">
        <v>64</v>
      </c>
    </row>
    <row r="537" spans="1:7" hidden="1" x14ac:dyDescent="0.25">
      <c r="A537" t="s">
        <v>538</v>
      </c>
      <c r="B537" t="s">
        <v>539</v>
      </c>
      <c r="C537" t="s">
        <v>540</v>
      </c>
      <c r="D537" t="s">
        <v>65</v>
      </c>
      <c r="E537" t="s">
        <v>513</v>
      </c>
      <c r="F537" t="s">
        <v>36</v>
      </c>
      <c r="G537" t="s">
        <v>514</v>
      </c>
    </row>
    <row r="538" spans="1:7" hidden="1" x14ac:dyDescent="0.25">
      <c r="A538" t="s">
        <v>538</v>
      </c>
      <c r="B538" t="s">
        <v>539</v>
      </c>
      <c r="C538" t="s">
        <v>540</v>
      </c>
      <c r="D538" t="s">
        <v>68</v>
      </c>
      <c r="E538" t="s">
        <v>516</v>
      </c>
      <c r="F538" t="s">
        <v>36</v>
      </c>
      <c r="G538" t="s">
        <v>517</v>
      </c>
    </row>
    <row r="539" spans="1:7" hidden="1" x14ac:dyDescent="0.25">
      <c r="A539" t="s">
        <v>538</v>
      </c>
      <c r="B539" t="s">
        <v>539</v>
      </c>
      <c r="C539" t="s">
        <v>540</v>
      </c>
      <c r="D539" t="s">
        <v>71</v>
      </c>
      <c r="E539" t="s">
        <v>519</v>
      </c>
      <c r="F539" t="s">
        <v>36</v>
      </c>
      <c r="G539" t="s">
        <v>520</v>
      </c>
    </row>
    <row r="540" spans="1:7" hidden="1" x14ac:dyDescent="0.25">
      <c r="A540" t="s">
        <v>538</v>
      </c>
      <c r="B540" t="s">
        <v>539</v>
      </c>
      <c r="C540" t="s">
        <v>540</v>
      </c>
      <c r="D540" t="s">
        <v>74</v>
      </c>
      <c r="E540" t="s">
        <v>75</v>
      </c>
      <c r="F540" t="s">
        <v>36</v>
      </c>
      <c r="G540" t="s">
        <v>76</v>
      </c>
    </row>
    <row r="541" spans="1:7" hidden="1" x14ac:dyDescent="0.25">
      <c r="A541" t="s">
        <v>538</v>
      </c>
      <c r="B541" t="s">
        <v>539</v>
      </c>
      <c r="C541" t="s">
        <v>540</v>
      </c>
      <c r="D541" t="s">
        <v>77</v>
      </c>
      <c r="E541" t="s">
        <v>543</v>
      </c>
      <c r="F541" t="s">
        <v>79</v>
      </c>
      <c r="G541" t="s">
        <v>402</v>
      </c>
    </row>
    <row r="542" spans="1:7" hidden="1" x14ac:dyDescent="0.25">
      <c r="A542" t="s">
        <v>538</v>
      </c>
      <c r="B542" t="s">
        <v>539</v>
      </c>
      <c r="C542" t="s">
        <v>540</v>
      </c>
      <c r="D542" t="s">
        <v>81</v>
      </c>
      <c r="E542" t="s">
        <v>544</v>
      </c>
      <c r="F542" t="s">
        <v>36</v>
      </c>
      <c r="G542" t="s">
        <v>545</v>
      </c>
    </row>
    <row r="543" spans="1:7" hidden="1" x14ac:dyDescent="0.25">
      <c r="A543" t="s">
        <v>538</v>
      </c>
      <c r="B543" t="s">
        <v>539</v>
      </c>
      <c r="C543" t="s">
        <v>540</v>
      </c>
      <c r="D543" t="s">
        <v>399</v>
      </c>
      <c r="E543" t="s">
        <v>546</v>
      </c>
      <c r="F543" t="s">
        <v>36</v>
      </c>
      <c r="G543" t="s">
        <v>547</v>
      </c>
    </row>
    <row r="544" spans="1:7" hidden="1" x14ac:dyDescent="0.25">
      <c r="A544" t="s">
        <v>538</v>
      </c>
      <c r="B544" t="s">
        <v>539</v>
      </c>
      <c r="C544" t="s">
        <v>540</v>
      </c>
      <c r="E544" t="s">
        <v>84</v>
      </c>
      <c r="F544" t="s">
        <v>79</v>
      </c>
      <c r="G544" t="s">
        <v>85</v>
      </c>
    </row>
    <row r="545" spans="1:7" hidden="1" x14ac:dyDescent="0.25">
      <c r="A545" t="s">
        <v>538</v>
      </c>
      <c r="B545" t="s">
        <v>539</v>
      </c>
      <c r="C545" t="s">
        <v>548</v>
      </c>
      <c r="D545" t="s">
        <v>87</v>
      </c>
      <c r="E545" t="s">
        <v>35</v>
      </c>
      <c r="F545" t="s">
        <v>36</v>
      </c>
      <c r="G545" t="s">
        <v>37</v>
      </c>
    </row>
    <row r="546" spans="1:7" hidden="1" x14ac:dyDescent="0.25">
      <c r="A546" t="s">
        <v>538</v>
      </c>
      <c r="B546" t="s">
        <v>539</v>
      </c>
      <c r="C546" t="s">
        <v>548</v>
      </c>
      <c r="D546" t="s">
        <v>38</v>
      </c>
      <c r="E546" t="s">
        <v>39</v>
      </c>
      <c r="F546" t="s">
        <v>36</v>
      </c>
      <c r="G546" t="s">
        <v>40</v>
      </c>
    </row>
    <row r="547" spans="1:7" hidden="1" x14ac:dyDescent="0.25">
      <c r="A547" t="s">
        <v>538</v>
      </c>
      <c r="B547" t="s">
        <v>539</v>
      </c>
      <c r="C547" t="s">
        <v>548</v>
      </c>
      <c r="D547" t="s">
        <v>88</v>
      </c>
      <c r="E547" t="s">
        <v>89</v>
      </c>
      <c r="F547" t="s">
        <v>36</v>
      </c>
      <c r="G547" t="s">
        <v>90</v>
      </c>
    </row>
    <row r="548" spans="1:7" hidden="1" x14ac:dyDescent="0.25">
      <c r="A548" t="s">
        <v>538</v>
      </c>
      <c r="B548" t="s">
        <v>539</v>
      </c>
      <c r="C548" t="s">
        <v>548</v>
      </c>
      <c r="D548" t="s">
        <v>91</v>
      </c>
      <c r="E548" t="s">
        <v>92</v>
      </c>
      <c r="F548" t="s">
        <v>36</v>
      </c>
      <c r="G548" t="s">
        <v>93</v>
      </c>
    </row>
    <row r="549" spans="1:7" hidden="1" x14ac:dyDescent="0.25">
      <c r="A549" t="s">
        <v>538</v>
      </c>
      <c r="B549" t="s">
        <v>539</v>
      </c>
      <c r="C549" t="s">
        <v>548</v>
      </c>
      <c r="D549" t="s">
        <v>94</v>
      </c>
      <c r="E549" t="s">
        <v>95</v>
      </c>
      <c r="F549" t="s">
        <v>36</v>
      </c>
      <c r="G549" t="s">
        <v>96</v>
      </c>
    </row>
    <row r="550" spans="1:7" hidden="1" x14ac:dyDescent="0.25">
      <c r="A550" t="s">
        <v>538</v>
      </c>
      <c r="B550" t="s">
        <v>539</v>
      </c>
      <c r="C550" t="s">
        <v>548</v>
      </c>
      <c r="D550" t="s">
        <v>97</v>
      </c>
      <c r="E550" t="s">
        <v>417</v>
      </c>
      <c r="F550" t="s">
        <v>36</v>
      </c>
      <c r="G550" t="s">
        <v>549</v>
      </c>
    </row>
    <row r="551" spans="1:7" hidden="1" x14ac:dyDescent="0.25">
      <c r="A551" t="s">
        <v>538</v>
      </c>
      <c r="B551" t="s">
        <v>539</v>
      </c>
      <c r="C551" t="s">
        <v>548</v>
      </c>
      <c r="D551" t="s">
        <v>100</v>
      </c>
      <c r="E551" t="s">
        <v>550</v>
      </c>
      <c r="F551" t="s">
        <v>36</v>
      </c>
      <c r="G551" t="s">
        <v>64</v>
      </c>
    </row>
    <row r="552" spans="1:7" hidden="1" x14ac:dyDescent="0.25">
      <c r="A552" t="s">
        <v>538</v>
      </c>
      <c r="B552" t="s">
        <v>539</v>
      </c>
      <c r="C552" t="s">
        <v>548</v>
      </c>
      <c r="D552" t="s">
        <v>102</v>
      </c>
      <c r="E552" t="s">
        <v>103</v>
      </c>
      <c r="F552" t="s">
        <v>36</v>
      </c>
      <c r="G552" t="s">
        <v>104</v>
      </c>
    </row>
    <row r="553" spans="1:7" hidden="1" x14ac:dyDescent="0.25">
      <c r="A553" t="s">
        <v>538</v>
      </c>
      <c r="B553" t="s">
        <v>539</v>
      </c>
      <c r="C553" t="s">
        <v>548</v>
      </c>
      <c r="D553" t="s">
        <v>109</v>
      </c>
      <c r="E553" t="s">
        <v>110</v>
      </c>
      <c r="F553" t="s">
        <v>36</v>
      </c>
      <c r="G553" t="s">
        <v>111</v>
      </c>
    </row>
    <row r="554" spans="1:7" hidden="1" x14ac:dyDescent="0.25">
      <c r="A554" t="s">
        <v>538</v>
      </c>
      <c r="B554" t="s">
        <v>539</v>
      </c>
      <c r="C554" t="s">
        <v>548</v>
      </c>
      <c r="D554" t="s">
        <v>112</v>
      </c>
      <c r="E554" t="s">
        <v>106</v>
      </c>
      <c r="F554" t="s">
        <v>36</v>
      </c>
      <c r="G554" t="s">
        <v>108</v>
      </c>
    </row>
    <row r="555" spans="1:7" hidden="1" x14ac:dyDescent="0.25">
      <c r="A555" t="s">
        <v>538</v>
      </c>
      <c r="B555" t="s">
        <v>539</v>
      </c>
      <c r="C555" t="s">
        <v>548</v>
      </c>
      <c r="D555" t="s">
        <v>278</v>
      </c>
      <c r="E555" t="s">
        <v>113</v>
      </c>
      <c r="F555" t="s">
        <v>36</v>
      </c>
      <c r="G555" t="s">
        <v>114</v>
      </c>
    </row>
    <row r="556" spans="1:7" hidden="1" x14ac:dyDescent="0.25">
      <c r="A556" t="s">
        <v>538</v>
      </c>
      <c r="B556" t="s">
        <v>539</v>
      </c>
      <c r="C556" t="s">
        <v>548</v>
      </c>
      <c r="D556" t="s">
        <v>115</v>
      </c>
      <c r="E556" t="s">
        <v>116</v>
      </c>
      <c r="F556" t="s">
        <v>36</v>
      </c>
      <c r="G556" t="s">
        <v>117</v>
      </c>
    </row>
    <row r="557" spans="1:7" hidden="1" x14ac:dyDescent="0.25">
      <c r="A557" t="s">
        <v>538</v>
      </c>
      <c r="B557" t="s">
        <v>539</v>
      </c>
      <c r="C557" t="s">
        <v>548</v>
      </c>
      <c r="D557" t="s">
        <v>121</v>
      </c>
      <c r="E557" t="s">
        <v>119</v>
      </c>
      <c r="F557" t="s">
        <v>36</v>
      </c>
      <c r="G557" t="s">
        <v>120</v>
      </c>
    </row>
    <row r="558" spans="1:7" hidden="1" x14ac:dyDescent="0.25">
      <c r="A558" t="s">
        <v>538</v>
      </c>
      <c r="B558" t="s">
        <v>539</v>
      </c>
      <c r="C558" t="s">
        <v>548</v>
      </c>
      <c r="D558" t="s">
        <v>124</v>
      </c>
      <c r="E558" t="s">
        <v>122</v>
      </c>
      <c r="F558" t="s">
        <v>36</v>
      </c>
      <c r="G558" t="s">
        <v>123</v>
      </c>
    </row>
    <row r="559" spans="1:7" hidden="1" x14ac:dyDescent="0.25">
      <c r="A559" t="s">
        <v>538</v>
      </c>
      <c r="B559" t="s">
        <v>539</v>
      </c>
      <c r="C559" t="s">
        <v>548</v>
      </c>
      <c r="D559" t="s">
        <v>129</v>
      </c>
      <c r="E559" t="s">
        <v>127</v>
      </c>
      <c r="F559" t="s">
        <v>36</v>
      </c>
      <c r="G559" t="s">
        <v>128</v>
      </c>
    </row>
    <row r="560" spans="1:7" hidden="1" x14ac:dyDescent="0.25">
      <c r="A560" t="s">
        <v>538</v>
      </c>
      <c r="B560" t="s">
        <v>539</v>
      </c>
      <c r="C560" t="s">
        <v>548</v>
      </c>
      <c r="D560" t="s">
        <v>131</v>
      </c>
      <c r="E560" t="s">
        <v>523</v>
      </c>
      <c r="F560" t="s">
        <v>36</v>
      </c>
      <c r="G560" t="s">
        <v>429</v>
      </c>
    </row>
    <row r="561" spans="1:7" hidden="1" x14ac:dyDescent="0.25">
      <c r="A561" t="s">
        <v>538</v>
      </c>
      <c r="B561" t="s">
        <v>539</v>
      </c>
      <c r="C561" t="s">
        <v>548</v>
      </c>
      <c r="D561" t="s">
        <v>134</v>
      </c>
      <c r="E561" t="s">
        <v>18</v>
      </c>
      <c r="F561" t="s">
        <v>36</v>
      </c>
      <c r="G561" t="s">
        <v>125</v>
      </c>
    </row>
    <row r="562" spans="1:7" hidden="1" x14ac:dyDescent="0.25">
      <c r="A562" t="s">
        <v>538</v>
      </c>
      <c r="B562" t="s">
        <v>539</v>
      </c>
      <c r="C562" t="s">
        <v>548</v>
      </c>
      <c r="D562" t="s">
        <v>136</v>
      </c>
      <c r="E562" t="s">
        <v>328</v>
      </c>
      <c r="F562" t="s">
        <v>36</v>
      </c>
      <c r="G562" t="s">
        <v>551</v>
      </c>
    </row>
    <row r="563" spans="1:7" hidden="1" x14ac:dyDescent="0.25">
      <c r="A563" t="s">
        <v>538</v>
      </c>
      <c r="B563" t="s">
        <v>539</v>
      </c>
      <c r="C563" t="s">
        <v>548</v>
      </c>
      <c r="D563" t="s">
        <v>334</v>
      </c>
      <c r="E563" t="s">
        <v>525</v>
      </c>
      <c r="F563" t="s">
        <v>36</v>
      </c>
      <c r="G563" t="s">
        <v>435</v>
      </c>
    </row>
    <row r="564" spans="1:7" hidden="1" x14ac:dyDescent="0.25">
      <c r="A564" t="s">
        <v>538</v>
      </c>
      <c r="B564" t="s">
        <v>539</v>
      </c>
      <c r="C564" t="s">
        <v>548</v>
      </c>
      <c r="D564" t="s">
        <v>139</v>
      </c>
      <c r="E564" t="s">
        <v>552</v>
      </c>
      <c r="F564" t="s">
        <v>36</v>
      </c>
      <c r="G564" t="s">
        <v>393</v>
      </c>
    </row>
    <row r="565" spans="1:7" hidden="1" x14ac:dyDescent="0.25">
      <c r="A565" t="s">
        <v>538</v>
      </c>
      <c r="B565" t="s">
        <v>539</v>
      </c>
      <c r="C565" t="s">
        <v>548</v>
      </c>
      <c r="D565" t="s">
        <v>337</v>
      </c>
      <c r="E565" t="s">
        <v>132</v>
      </c>
      <c r="F565" t="s">
        <v>36</v>
      </c>
      <c r="G565" t="s">
        <v>133</v>
      </c>
    </row>
    <row r="566" spans="1:7" hidden="1" x14ac:dyDescent="0.25">
      <c r="A566" t="s">
        <v>538</v>
      </c>
      <c r="B566" t="s">
        <v>539</v>
      </c>
      <c r="C566" t="s">
        <v>548</v>
      </c>
      <c r="D566" t="s">
        <v>341</v>
      </c>
      <c r="E566" t="s">
        <v>553</v>
      </c>
      <c r="F566" t="s">
        <v>36</v>
      </c>
      <c r="G566" t="s">
        <v>243</v>
      </c>
    </row>
    <row r="567" spans="1:7" hidden="1" x14ac:dyDescent="0.25">
      <c r="A567" t="s">
        <v>538</v>
      </c>
      <c r="B567" t="s">
        <v>539</v>
      </c>
      <c r="C567" t="s">
        <v>548</v>
      </c>
      <c r="D567" t="s">
        <v>344</v>
      </c>
      <c r="E567" t="s">
        <v>554</v>
      </c>
      <c r="F567" t="s">
        <v>36</v>
      </c>
      <c r="G567" t="s">
        <v>141</v>
      </c>
    </row>
    <row r="568" spans="1:7" hidden="1" x14ac:dyDescent="0.25">
      <c r="A568" t="s">
        <v>538</v>
      </c>
      <c r="B568" t="s">
        <v>539</v>
      </c>
      <c r="C568" t="s">
        <v>548</v>
      </c>
      <c r="D568" t="s">
        <v>528</v>
      </c>
      <c r="E568" t="s">
        <v>555</v>
      </c>
      <c r="F568" t="s">
        <v>36</v>
      </c>
      <c r="G568" t="s">
        <v>246</v>
      </c>
    </row>
    <row r="569" spans="1:7" hidden="1" x14ac:dyDescent="0.25">
      <c r="A569" t="s">
        <v>538</v>
      </c>
      <c r="B569" t="s">
        <v>539</v>
      </c>
      <c r="C569" t="s">
        <v>548</v>
      </c>
      <c r="D569" t="s">
        <v>529</v>
      </c>
      <c r="E569" t="s">
        <v>527</v>
      </c>
      <c r="F569" t="s">
        <v>36</v>
      </c>
      <c r="G569" t="s">
        <v>441</v>
      </c>
    </row>
    <row r="570" spans="1:7" hidden="1" x14ac:dyDescent="0.25">
      <c r="A570" t="s">
        <v>538</v>
      </c>
      <c r="B570" t="s">
        <v>539</v>
      </c>
      <c r="C570" t="s">
        <v>548</v>
      </c>
      <c r="D570" t="s">
        <v>556</v>
      </c>
      <c r="E570" t="s">
        <v>338</v>
      </c>
      <c r="F570" t="s">
        <v>36</v>
      </c>
      <c r="G570" t="s">
        <v>443</v>
      </c>
    </row>
    <row r="571" spans="1:7" hidden="1" x14ac:dyDescent="0.25">
      <c r="A571" t="s">
        <v>538</v>
      </c>
      <c r="B571" t="s">
        <v>539</v>
      </c>
      <c r="C571" t="s">
        <v>548</v>
      </c>
      <c r="D571" t="s">
        <v>557</v>
      </c>
      <c r="E571" t="s">
        <v>530</v>
      </c>
      <c r="F571" t="s">
        <v>36</v>
      </c>
      <c r="G571" t="s">
        <v>445</v>
      </c>
    </row>
    <row r="572" spans="1:7" hidden="1" x14ac:dyDescent="0.25">
      <c r="A572" t="s">
        <v>538</v>
      </c>
      <c r="B572" t="s">
        <v>539</v>
      </c>
      <c r="C572" t="s">
        <v>548</v>
      </c>
      <c r="D572" t="s">
        <v>558</v>
      </c>
      <c r="E572" t="s">
        <v>559</v>
      </c>
      <c r="F572" t="s">
        <v>36</v>
      </c>
      <c r="G572" t="s">
        <v>138</v>
      </c>
    </row>
    <row r="573" spans="1:7" hidden="1" x14ac:dyDescent="0.25">
      <c r="A573" t="s">
        <v>538</v>
      </c>
      <c r="B573" t="s">
        <v>539</v>
      </c>
      <c r="C573" t="s">
        <v>548</v>
      </c>
      <c r="E573" t="s">
        <v>84</v>
      </c>
      <c r="F573" t="s">
        <v>79</v>
      </c>
      <c r="G573" t="s">
        <v>85</v>
      </c>
    </row>
    <row r="574" spans="1:7" hidden="1" x14ac:dyDescent="0.25">
      <c r="A574" t="s">
        <v>538</v>
      </c>
      <c r="B574" t="s">
        <v>539</v>
      </c>
      <c r="C574" t="s">
        <v>560</v>
      </c>
      <c r="D574" t="s">
        <v>34</v>
      </c>
      <c r="E574" t="s">
        <v>35</v>
      </c>
      <c r="F574" t="s">
        <v>36</v>
      </c>
      <c r="G574" t="s">
        <v>37</v>
      </c>
    </row>
    <row r="575" spans="1:7" hidden="1" x14ac:dyDescent="0.25">
      <c r="A575" t="s">
        <v>538</v>
      </c>
      <c r="B575" t="s">
        <v>539</v>
      </c>
      <c r="C575" t="s">
        <v>560</v>
      </c>
      <c r="D575" t="s">
        <v>38</v>
      </c>
      <c r="E575" t="s">
        <v>39</v>
      </c>
      <c r="F575" t="s">
        <v>36</v>
      </c>
      <c r="G575" t="s">
        <v>40</v>
      </c>
    </row>
    <row r="576" spans="1:7" hidden="1" x14ac:dyDescent="0.25">
      <c r="A576" t="s">
        <v>538</v>
      </c>
      <c r="B576" t="s">
        <v>539</v>
      </c>
      <c r="C576" t="s">
        <v>560</v>
      </c>
      <c r="D576" t="s">
        <v>88</v>
      </c>
      <c r="E576" t="s">
        <v>89</v>
      </c>
      <c r="F576" t="s">
        <v>36</v>
      </c>
      <c r="G576" t="s">
        <v>90</v>
      </c>
    </row>
    <row r="577" spans="1:7" hidden="1" x14ac:dyDescent="0.25">
      <c r="A577" t="s">
        <v>538</v>
      </c>
      <c r="B577" t="s">
        <v>539</v>
      </c>
      <c r="C577" t="s">
        <v>560</v>
      </c>
      <c r="D577" t="s">
        <v>143</v>
      </c>
      <c r="E577" t="s">
        <v>159</v>
      </c>
      <c r="F577" t="s">
        <v>36</v>
      </c>
      <c r="G577" t="s">
        <v>160</v>
      </c>
    </row>
    <row r="578" spans="1:7" hidden="1" x14ac:dyDescent="0.25">
      <c r="A578" t="s">
        <v>538</v>
      </c>
      <c r="B578" t="s">
        <v>539</v>
      </c>
      <c r="C578" t="s">
        <v>560</v>
      </c>
      <c r="D578" t="s">
        <v>146</v>
      </c>
      <c r="E578" t="s">
        <v>162</v>
      </c>
      <c r="F578" t="s">
        <v>36</v>
      </c>
      <c r="G578" t="s">
        <v>163</v>
      </c>
    </row>
    <row r="579" spans="1:7" hidden="1" x14ac:dyDescent="0.25">
      <c r="A579" t="s">
        <v>538</v>
      </c>
      <c r="B579" t="s">
        <v>539</v>
      </c>
      <c r="C579" t="s">
        <v>560</v>
      </c>
      <c r="D579" t="s">
        <v>149</v>
      </c>
      <c r="E579" t="s">
        <v>144</v>
      </c>
      <c r="F579" t="s">
        <v>36</v>
      </c>
      <c r="G579" t="s">
        <v>145</v>
      </c>
    </row>
    <row r="580" spans="1:7" hidden="1" x14ac:dyDescent="0.25">
      <c r="A580" t="s">
        <v>538</v>
      </c>
      <c r="B580" t="s">
        <v>539</v>
      </c>
      <c r="C580" t="s">
        <v>560</v>
      </c>
      <c r="D580" t="s">
        <v>352</v>
      </c>
      <c r="E580" t="s">
        <v>147</v>
      </c>
      <c r="F580" t="s">
        <v>36</v>
      </c>
      <c r="G580" t="s">
        <v>148</v>
      </c>
    </row>
    <row r="581" spans="1:7" hidden="1" x14ac:dyDescent="0.25">
      <c r="A581" t="s">
        <v>538</v>
      </c>
      <c r="B581" t="s">
        <v>539</v>
      </c>
      <c r="C581" t="s">
        <v>560</v>
      </c>
      <c r="D581" t="s">
        <v>155</v>
      </c>
      <c r="E581" t="s">
        <v>150</v>
      </c>
      <c r="F581" t="s">
        <v>36</v>
      </c>
      <c r="G581" t="s">
        <v>151</v>
      </c>
    </row>
    <row r="582" spans="1:7" hidden="1" x14ac:dyDescent="0.25">
      <c r="A582" t="s">
        <v>538</v>
      </c>
      <c r="B582" t="s">
        <v>539</v>
      </c>
      <c r="C582" t="s">
        <v>560</v>
      </c>
      <c r="D582" t="s">
        <v>158</v>
      </c>
      <c r="E582" t="s">
        <v>532</v>
      </c>
      <c r="F582" t="s">
        <v>36</v>
      </c>
      <c r="G582" t="s">
        <v>252</v>
      </c>
    </row>
    <row r="583" spans="1:7" hidden="1" x14ac:dyDescent="0.25">
      <c r="A583" t="s">
        <v>538</v>
      </c>
      <c r="B583" t="s">
        <v>539</v>
      </c>
      <c r="C583" t="s">
        <v>560</v>
      </c>
      <c r="D583" t="s">
        <v>161</v>
      </c>
      <c r="E583" t="s">
        <v>533</v>
      </c>
      <c r="F583" t="s">
        <v>36</v>
      </c>
      <c r="G583" t="s">
        <v>157</v>
      </c>
    </row>
    <row r="584" spans="1:7" hidden="1" x14ac:dyDescent="0.25">
      <c r="A584" t="s">
        <v>538</v>
      </c>
      <c r="B584" t="s">
        <v>539</v>
      </c>
      <c r="C584" t="s">
        <v>561</v>
      </c>
      <c r="D584" t="s">
        <v>293</v>
      </c>
      <c r="E584" t="s">
        <v>294</v>
      </c>
      <c r="F584" t="s">
        <v>36</v>
      </c>
      <c r="G584" t="s">
        <v>37</v>
      </c>
    </row>
    <row r="585" spans="1:7" hidden="1" x14ac:dyDescent="0.25">
      <c r="A585" t="s">
        <v>538</v>
      </c>
      <c r="B585" t="s">
        <v>539</v>
      </c>
      <c r="C585" t="s">
        <v>561</v>
      </c>
      <c r="D585" t="s">
        <v>88</v>
      </c>
      <c r="E585" t="s">
        <v>89</v>
      </c>
      <c r="F585" t="s">
        <v>36</v>
      </c>
      <c r="G585" t="s">
        <v>90</v>
      </c>
    </row>
    <row r="586" spans="1:7" hidden="1" x14ac:dyDescent="0.25">
      <c r="A586" t="s">
        <v>538</v>
      </c>
      <c r="B586" t="s">
        <v>539</v>
      </c>
      <c r="C586" t="s">
        <v>561</v>
      </c>
      <c r="D586" t="s">
        <v>166</v>
      </c>
      <c r="E586" t="s">
        <v>167</v>
      </c>
      <c r="F586" t="s">
        <v>36</v>
      </c>
      <c r="G586" t="s">
        <v>168</v>
      </c>
    </row>
    <row r="587" spans="1:7" hidden="1" x14ac:dyDescent="0.25">
      <c r="A587" t="s">
        <v>538</v>
      </c>
      <c r="B587" t="s">
        <v>539</v>
      </c>
      <c r="C587" t="s">
        <v>562</v>
      </c>
      <c r="D587" t="s">
        <v>87</v>
      </c>
      <c r="E587" t="s">
        <v>35</v>
      </c>
      <c r="F587" t="s">
        <v>36</v>
      </c>
      <c r="G587" t="s">
        <v>40</v>
      </c>
    </row>
    <row r="588" spans="1:7" hidden="1" x14ac:dyDescent="0.25">
      <c r="A588" t="s">
        <v>538</v>
      </c>
      <c r="B588" t="s">
        <v>539</v>
      </c>
      <c r="C588" t="s">
        <v>562</v>
      </c>
      <c r="D588" t="s">
        <v>88</v>
      </c>
      <c r="E588" t="s">
        <v>89</v>
      </c>
      <c r="F588" t="s">
        <v>36</v>
      </c>
      <c r="G588" t="s">
        <v>90</v>
      </c>
    </row>
    <row r="589" spans="1:7" hidden="1" x14ac:dyDescent="0.25">
      <c r="A589" t="s">
        <v>538</v>
      </c>
      <c r="B589" t="s">
        <v>539</v>
      </c>
      <c r="C589" t="s">
        <v>562</v>
      </c>
      <c r="D589" t="s">
        <v>170</v>
      </c>
      <c r="E589" t="s">
        <v>171</v>
      </c>
      <c r="F589" t="s">
        <v>36</v>
      </c>
    </row>
    <row r="590" spans="1:7" hidden="1" x14ac:dyDescent="0.25">
      <c r="A590" t="s">
        <v>538</v>
      </c>
      <c r="B590" t="s">
        <v>539</v>
      </c>
      <c r="C590" t="s">
        <v>562</v>
      </c>
      <c r="D590" t="s">
        <v>172</v>
      </c>
      <c r="E590" t="s">
        <v>173</v>
      </c>
      <c r="F590" t="s">
        <v>36</v>
      </c>
    </row>
    <row r="591" spans="1:7" hidden="1" x14ac:dyDescent="0.25">
      <c r="A591" t="s">
        <v>538</v>
      </c>
      <c r="B591" t="s">
        <v>539</v>
      </c>
      <c r="C591" t="s">
        <v>562</v>
      </c>
      <c r="D591" t="s">
        <v>174</v>
      </c>
      <c r="E591" t="s">
        <v>175</v>
      </c>
      <c r="F591" t="s">
        <v>36</v>
      </c>
    </row>
    <row r="592" spans="1:7" x14ac:dyDescent="0.25">
      <c r="A592" t="s">
        <v>538</v>
      </c>
      <c r="B592" t="s">
        <v>539</v>
      </c>
      <c r="C592" t="s">
        <v>563</v>
      </c>
      <c r="D592" t="s">
        <v>34</v>
      </c>
      <c r="E592" t="s">
        <v>35</v>
      </c>
      <c r="F592" t="s">
        <v>36</v>
      </c>
      <c r="G592" t="s">
        <v>37</v>
      </c>
    </row>
    <row r="593" spans="1:7" x14ac:dyDescent="0.25">
      <c r="A593" t="s">
        <v>538</v>
      </c>
      <c r="B593" t="s">
        <v>539</v>
      </c>
      <c r="C593" t="s">
        <v>563</v>
      </c>
      <c r="D593" t="s">
        <v>38</v>
      </c>
      <c r="E593" t="s">
        <v>39</v>
      </c>
      <c r="F593" t="s">
        <v>36</v>
      </c>
      <c r="G593" t="s">
        <v>40</v>
      </c>
    </row>
    <row r="594" spans="1:7" x14ac:dyDescent="0.25">
      <c r="A594" t="s">
        <v>538</v>
      </c>
      <c r="B594" t="s">
        <v>539</v>
      </c>
      <c r="C594" t="s">
        <v>563</v>
      </c>
      <c r="D594" t="s">
        <v>88</v>
      </c>
      <c r="E594" t="s">
        <v>89</v>
      </c>
      <c r="F594" t="s">
        <v>36</v>
      </c>
      <c r="G594" t="s">
        <v>90</v>
      </c>
    </row>
    <row r="595" spans="1:7" x14ac:dyDescent="0.25">
      <c r="A595" t="s">
        <v>538</v>
      </c>
      <c r="B595" t="s">
        <v>539</v>
      </c>
      <c r="C595" t="s">
        <v>563</v>
      </c>
      <c r="D595" t="s">
        <v>34</v>
      </c>
      <c r="E595" t="s">
        <v>14</v>
      </c>
      <c r="F595" t="s">
        <v>36</v>
      </c>
      <c r="G595" t="s">
        <v>177</v>
      </c>
    </row>
    <row r="596" spans="1:7" x14ac:dyDescent="0.25">
      <c r="A596" t="s">
        <v>538</v>
      </c>
      <c r="B596" t="s">
        <v>539</v>
      </c>
      <c r="C596" t="s">
        <v>563</v>
      </c>
      <c r="D596" t="s">
        <v>88</v>
      </c>
      <c r="E596" t="s">
        <v>15</v>
      </c>
      <c r="F596" t="s">
        <v>36</v>
      </c>
      <c r="G596" t="s">
        <v>178</v>
      </c>
    </row>
    <row r="597" spans="1:7" x14ac:dyDescent="0.25">
      <c r="A597" t="s">
        <v>538</v>
      </c>
      <c r="B597" t="s">
        <v>539</v>
      </c>
      <c r="C597" t="s">
        <v>563</v>
      </c>
      <c r="D597" t="s">
        <v>109</v>
      </c>
      <c r="E597" t="s">
        <v>16</v>
      </c>
      <c r="F597" t="s">
        <v>36</v>
      </c>
    </row>
    <row r="598" spans="1:7" x14ac:dyDescent="0.25">
      <c r="A598" t="s">
        <v>538</v>
      </c>
      <c r="B598" t="s">
        <v>539</v>
      </c>
      <c r="C598" t="s">
        <v>563</v>
      </c>
      <c r="D598" t="s">
        <v>115</v>
      </c>
      <c r="E598" t="s">
        <v>17</v>
      </c>
      <c r="F598" t="s">
        <v>36</v>
      </c>
      <c r="G598" t="s">
        <v>180</v>
      </c>
    </row>
    <row r="599" spans="1:7" x14ac:dyDescent="0.25">
      <c r="A599" t="s">
        <v>538</v>
      </c>
      <c r="B599" t="s">
        <v>539</v>
      </c>
      <c r="C599" t="s">
        <v>563</v>
      </c>
      <c r="D599" t="s">
        <v>134</v>
      </c>
      <c r="E599" t="s">
        <v>18</v>
      </c>
      <c r="F599" t="s">
        <v>36</v>
      </c>
      <c r="G599" t="s">
        <v>182</v>
      </c>
    </row>
    <row r="600" spans="1:7" x14ac:dyDescent="0.25">
      <c r="A600" t="s">
        <v>538</v>
      </c>
      <c r="B600" t="s">
        <v>539</v>
      </c>
      <c r="C600" t="s">
        <v>563</v>
      </c>
      <c r="D600" t="s">
        <v>288</v>
      </c>
      <c r="E600" t="s">
        <v>19</v>
      </c>
      <c r="F600" t="s">
        <v>36</v>
      </c>
      <c r="G600" t="s">
        <v>183</v>
      </c>
    </row>
    <row r="601" spans="1:7" x14ac:dyDescent="0.25">
      <c r="A601" t="s">
        <v>538</v>
      </c>
      <c r="B601" t="s">
        <v>539</v>
      </c>
      <c r="C601" t="s">
        <v>563</v>
      </c>
      <c r="D601" t="s">
        <v>289</v>
      </c>
      <c r="E601" t="s">
        <v>20</v>
      </c>
      <c r="F601" t="s">
        <v>36</v>
      </c>
    </row>
    <row r="602" spans="1:7" hidden="1" x14ac:dyDescent="0.25">
      <c r="A602" t="s">
        <v>538</v>
      </c>
      <c r="B602" t="s">
        <v>539</v>
      </c>
      <c r="C602" t="s">
        <v>564</v>
      </c>
      <c r="D602" t="s">
        <v>186</v>
      </c>
      <c r="E602" t="s">
        <v>35</v>
      </c>
      <c r="F602" t="s">
        <v>36</v>
      </c>
    </row>
    <row r="603" spans="1:7" hidden="1" x14ac:dyDescent="0.25">
      <c r="A603" t="s">
        <v>538</v>
      </c>
      <c r="B603" t="s">
        <v>539</v>
      </c>
      <c r="C603" t="s">
        <v>564</v>
      </c>
      <c r="D603" t="s">
        <v>187</v>
      </c>
      <c r="E603" t="s">
        <v>89</v>
      </c>
      <c r="F603" t="s">
        <v>36</v>
      </c>
    </row>
    <row r="604" spans="1:7" hidden="1" x14ac:dyDescent="0.25">
      <c r="A604" t="s">
        <v>538</v>
      </c>
      <c r="B604" t="s">
        <v>539</v>
      </c>
      <c r="C604" t="s">
        <v>564</v>
      </c>
      <c r="D604" t="s">
        <v>188</v>
      </c>
      <c r="E604" t="s">
        <v>189</v>
      </c>
      <c r="F604" t="s">
        <v>36</v>
      </c>
    </row>
    <row r="605" spans="1:7" hidden="1" x14ac:dyDescent="0.25">
      <c r="A605" t="s">
        <v>538</v>
      </c>
      <c r="B605" t="s">
        <v>539</v>
      </c>
      <c r="C605" t="s">
        <v>564</v>
      </c>
      <c r="D605" t="s">
        <v>190</v>
      </c>
      <c r="E605" t="s">
        <v>191</v>
      </c>
      <c r="F605" t="s">
        <v>36</v>
      </c>
    </row>
    <row r="606" spans="1:7" hidden="1" x14ac:dyDescent="0.25">
      <c r="A606" t="s">
        <v>538</v>
      </c>
      <c r="B606" t="s">
        <v>539</v>
      </c>
      <c r="C606" t="s">
        <v>564</v>
      </c>
      <c r="D606" t="s">
        <v>192</v>
      </c>
      <c r="E606" t="s">
        <v>173</v>
      </c>
      <c r="F606" t="s">
        <v>36</v>
      </c>
    </row>
    <row r="607" spans="1:7" hidden="1" x14ac:dyDescent="0.25">
      <c r="A607" t="s">
        <v>538</v>
      </c>
      <c r="B607" t="s">
        <v>539</v>
      </c>
      <c r="C607" t="s">
        <v>564</v>
      </c>
      <c r="D607" t="s">
        <v>193</v>
      </c>
      <c r="E607" t="s">
        <v>194</v>
      </c>
      <c r="F607" t="s">
        <v>36</v>
      </c>
    </row>
    <row r="608" spans="1:7" hidden="1" x14ac:dyDescent="0.25">
      <c r="A608" t="s">
        <v>538</v>
      </c>
      <c r="B608" t="s">
        <v>539</v>
      </c>
      <c r="C608" t="s">
        <v>564</v>
      </c>
      <c r="D608" t="s">
        <v>195</v>
      </c>
      <c r="E608" t="s">
        <v>196</v>
      </c>
      <c r="F608" t="s">
        <v>36</v>
      </c>
    </row>
    <row r="609" spans="1:7" hidden="1" x14ac:dyDescent="0.25">
      <c r="A609" t="s">
        <v>538</v>
      </c>
      <c r="B609" t="s">
        <v>539</v>
      </c>
      <c r="C609" t="s">
        <v>564</v>
      </c>
      <c r="D609" t="s">
        <v>197</v>
      </c>
      <c r="E609" t="s">
        <v>198</v>
      </c>
      <c r="F609" t="s">
        <v>36</v>
      </c>
    </row>
    <row r="610" spans="1:7" hidden="1" x14ac:dyDescent="0.25">
      <c r="A610" t="s">
        <v>565</v>
      </c>
      <c r="B610" t="s">
        <v>566</v>
      </c>
      <c r="C610" t="s">
        <v>567</v>
      </c>
      <c r="D610" t="s">
        <v>34</v>
      </c>
      <c r="E610" t="s">
        <v>12</v>
      </c>
      <c r="F610" t="s">
        <v>36</v>
      </c>
      <c r="G610" t="s">
        <v>37</v>
      </c>
    </row>
    <row r="611" spans="1:7" hidden="1" x14ac:dyDescent="0.25">
      <c r="A611" t="s">
        <v>565</v>
      </c>
      <c r="B611" t="s">
        <v>566</v>
      </c>
      <c r="C611" t="s">
        <v>567</v>
      </c>
      <c r="D611" t="s">
        <v>38</v>
      </c>
      <c r="E611" t="s">
        <v>39</v>
      </c>
      <c r="F611" t="s">
        <v>36</v>
      </c>
      <c r="G611" t="s">
        <v>40</v>
      </c>
    </row>
    <row r="612" spans="1:7" hidden="1" x14ac:dyDescent="0.25">
      <c r="A612" t="s">
        <v>565</v>
      </c>
      <c r="B612" t="s">
        <v>566</v>
      </c>
      <c r="C612" t="s">
        <v>567</v>
      </c>
      <c r="D612" t="s">
        <v>41</v>
      </c>
      <c r="E612" t="s">
        <v>568</v>
      </c>
      <c r="F612" t="s">
        <v>36</v>
      </c>
      <c r="G612" t="s">
        <v>297</v>
      </c>
    </row>
    <row r="613" spans="1:7" hidden="1" x14ac:dyDescent="0.25">
      <c r="A613" t="s">
        <v>565</v>
      </c>
      <c r="B613" t="s">
        <v>566</v>
      </c>
      <c r="C613" t="s">
        <v>567</v>
      </c>
      <c r="D613" t="s">
        <v>44</v>
      </c>
      <c r="E613" t="s">
        <v>391</v>
      </c>
      <c r="F613" t="s">
        <v>36</v>
      </c>
      <c r="G613" t="s">
        <v>46</v>
      </c>
    </row>
    <row r="614" spans="1:7" hidden="1" x14ac:dyDescent="0.25">
      <c r="A614" t="s">
        <v>565</v>
      </c>
      <c r="B614" t="s">
        <v>566</v>
      </c>
      <c r="C614" t="s">
        <v>567</v>
      </c>
      <c r="D614" t="s">
        <v>47</v>
      </c>
      <c r="E614" t="s">
        <v>48</v>
      </c>
      <c r="F614" t="s">
        <v>36</v>
      </c>
      <c r="G614" t="s">
        <v>49</v>
      </c>
    </row>
    <row r="615" spans="1:7" hidden="1" x14ac:dyDescent="0.25">
      <c r="A615" t="s">
        <v>565</v>
      </c>
      <c r="B615" t="s">
        <v>566</v>
      </c>
      <c r="C615" t="s">
        <v>567</v>
      </c>
      <c r="D615" t="s">
        <v>50</v>
      </c>
      <c r="E615" t="s">
        <v>51</v>
      </c>
      <c r="F615" t="s">
        <v>36</v>
      </c>
      <c r="G615" t="s">
        <v>52</v>
      </c>
    </row>
    <row r="616" spans="1:7" hidden="1" x14ac:dyDescent="0.25">
      <c r="A616" t="s">
        <v>565</v>
      </c>
      <c r="B616" t="s">
        <v>566</v>
      </c>
      <c r="C616" t="s">
        <v>567</v>
      </c>
      <c r="D616" t="s">
        <v>53</v>
      </c>
      <c r="E616" t="s">
        <v>541</v>
      </c>
      <c r="F616" t="s">
        <v>36</v>
      </c>
      <c r="G616" t="s">
        <v>272</v>
      </c>
    </row>
    <row r="617" spans="1:7" hidden="1" x14ac:dyDescent="0.25">
      <c r="A617" t="s">
        <v>565</v>
      </c>
      <c r="B617" t="s">
        <v>566</v>
      </c>
      <c r="C617" t="s">
        <v>567</v>
      </c>
      <c r="D617" t="s">
        <v>56</v>
      </c>
      <c r="E617" t="s">
        <v>57</v>
      </c>
      <c r="F617" t="s">
        <v>36</v>
      </c>
      <c r="G617" t="s">
        <v>58</v>
      </c>
    </row>
    <row r="618" spans="1:7" hidden="1" x14ac:dyDescent="0.25">
      <c r="A618" t="s">
        <v>565</v>
      </c>
      <c r="B618" t="s">
        <v>566</v>
      </c>
      <c r="C618" t="s">
        <v>567</v>
      </c>
      <c r="D618" t="s">
        <v>59</v>
      </c>
      <c r="E618" t="s">
        <v>60</v>
      </c>
      <c r="F618" t="s">
        <v>36</v>
      </c>
      <c r="G618" t="s">
        <v>61</v>
      </c>
    </row>
    <row r="619" spans="1:7" hidden="1" x14ac:dyDescent="0.25">
      <c r="A619" t="s">
        <v>565</v>
      </c>
      <c r="B619" t="s">
        <v>566</v>
      </c>
      <c r="C619" t="s">
        <v>567</v>
      </c>
      <c r="D619" t="s">
        <v>62</v>
      </c>
      <c r="E619" t="s">
        <v>542</v>
      </c>
      <c r="F619" t="s">
        <v>36</v>
      </c>
      <c r="G619" t="s">
        <v>64</v>
      </c>
    </row>
    <row r="620" spans="1:7" hidden="1" x14ac:dyDescent="0.25">
      <c r="A620" t="s">
        <v>565</v>
      </c>
      <c r="B620" t="s">
        <v>566</v>
      </c>
      <c r="C620" t="s">
        <v>567</v>
      </c>
      <c r="D620" t="s">
        <v>65</v>
      </c>
      <c r="E620" t="s">
        <v>569</v>
      </c>
      <c r="F620" t="s">
        <v>36</v>
      </c>
      <c r="G620" t="s">
        <v>67</v>
      </c>
    </row>
    <row r="621" spans="1:7" hidden="1" x14ac:dyDescent="0.25">
      <c r="A621" t="s">
        <v>565</v>
      </c>
      <c r="B621" t="s">
        <v>566</v>
      </c>
      <c r="C621" t="s">
        <v>567</v>
      </c>
      <c r="D621" t="s">
        <v>512</v>
      </c>
      <c r="E621" t="s">
        <v>513</v>
      </c>
      <c r="F621" t="s">
        <v>36</v>
      </c>
      <c r="G621" t="s">
        <v>514</v>
      </c>
    </row>
    <row r="622" spans="1:7" hidden="1" x14ac:dyDescent="0.25">
      <c r="A622" t="s">
        <v>565</v>
      </c>
      <c r="B622" t="s">
        <v>566</v>
      </c>
      <c r="C622" t="s">
        <v>567</v>
      </c>
      <c r="D622" t="s">
        <v>68</v>
      </c>
      <c r="E622" t="s">
        <v>570</v>
      </c>
      <c r="F622" t="s">
        <v>36</v>
      </c>
      <c r="G622" t="s">
        <v>70</v>
      </c>
    </row>
    <row r="623" spans="1:7" hidden="1" x14ac:dyDescent="0.25">
      <c r="A623" t="s">
        <v>565</v>
      </c>
      <c r="B623" t="s">
        <v>566</v>
      </c>
      <c r="C623" t="s">
        <v>567</v>
      </c>
      <c r="D623" t="s">
        <v>515</v>
      </c>
      <c r="E623" t="s">
        <v>516</v>
      </c>
      <c r="F623" t="s">
        <v>36</v>
      </c>
      <c r="G623" t="s">
        <v>517</v>
      </c>
    </row>
    <row r="624" spans="1:7" hidden="1" x14ac:dyDescent="0.25">
      <c r="A624" t="s">
        <v>565</v>
      </c>
      <c r="B624" t="s">
        <v>566</v>
      </c>
      <c r="C624" t="s">
        <v>567</v>
      </c>
      <c r="D624" t="s">
        <v>71</v>
      </c>
      <c r="E624" t="s">
        <v>571</v>
      </c>
      <c r="F624" t="s">
        <v>36</v>
      </c>
      <c r="G624" t="s">
        <v>73</v>
      </c>
    </row>
    <row r="625" spans="1:7" hidden="1" x14ac:dyDescent="0.25">
      <c r="A625" t="s">
        <v>565</v>
      </c>
      <c r="B625" t="s">
        <v>566</v>
      </c>
      <c r="C625" t="s">
        <v>567</v>
      </c>
      <c r="D625" t="s">
        <v>518</v>
      </c>
      <c r="E625" t="s">
        <v>519</v>
      </c>
      <c r="F625" t="s">
        <v>36</v>
      </c>
      <c r="G625" t="s">
        <v>520</v>
      </c>
    </row>
    <row r="626" spans="1:7" hidden="1" x14ac:dyDescent="0.25">
      <c r="A626" t="s">
        <v>565</v>
      </c>
      <c r="B626" t="s">
        <v>566</v>
      </c>
      <c r="C626" t="s">
        <v>567</v>
      </c>
      <c r="D626" t="s">
        <v>74</v>
      </c>
      <c r="E626" t="s">
        <v>543</v>
      </c>
      <c r="F626" t="s">
        <v>79</v>
      </c>
      <c r="G626" t="s">
        <v>402</v>
      </c>
    </row>
    <row r="627" spans="1:7" hidden="1" x14ac:dyDescent="0.25">
      <c r="A627" t="s">
        <v>565</v>
      </c>
      <c r="B627" t="s">
        <v>566</v>
      </c>
      <c r="C627" t="s">
        <v>567</v>
      </c>
      <c r="D627" t="s">
        <v>77</v>
      </c>
      <c r="E627" t="s">
        <v>544</v>
      </c>
      <c r="F627" t="s">
        <v>36</v>
      </c>
      <c r="G627" t="s">
        <v>545</v>
      </c>
    </row>
    <row r="628" spans="1:7" hidden="1" x14ac:dyDescent="0.25">
      <c r="A628" t="s">
        <v>565</v>
      </c>
      <c r="B628" t="s">
        <v>566</v>
      </c>
      <c r="C628" t="s">
        <v>567</v>
      </c>
      <c r="D628" t="s">
        <v>81</v>
      </c>
      <c r="E628" t="s">
        <v>546</v>
      </c>
      <c r="F628" t="s">
        <v>36</v>
      </c>
      <c r="G628" t="s">
        <v>547</v>
      </c>
    </row>
    <row r="629" spans="1:7" hidden="1" x14ac:dyDescent="0.25">
      <c r="A629" t="s">
        <v>565</v>
      </c>
      <c r="B629" t="s">
        <v>566</v>
      </c>
      <c r="C629" t="s">
        <v>567</v>
      </c>
      <c r="E629" t="s">
        <v>84</v>
      </c>
      <c r="F629" t="s">
        <v>79</v>
      </c>
      <c r="G629" t="s">
        <v>85</v>
      </c>
    </row>
    <row r="630" spans="1:7" hidden="1" x14ac:dyDescent="0.25">
      <c r="A630" t="s">
        <v>565</v>
      </c>
      <c r="B630" t="s">
        <v>566</v>
      </c>
      <c r="C630" t="s">
        <v>572</v>
      </c>
      <c r="D630" t="s">
        <v>87</v>
      </c>
      <c r="E630" t="s">
        <v>12</v>
      </c>
      <c r="F630" t="s">
        <v>36</v>
      </c>
      <c r="G630" t="s">
        <v>37</v>
      </c>
    </row>
    <row r="631" spans="1:7" hidden="1" x14ac:dyDescent="0.25">
      <c r="A631" t="s">
        <v>565</v>
      </c>
      <c r="B631" t="s">
        <v>566</v>
      </c>
      <c r="C631" t="s">
        <v>572</v>
      </c>
      <c r="D631" t="s">
        <v>38</v>
      </c>
      <c r="E631" t="s">
        <v>39</v>
      </c>
      <c r="F631" t="s">
        <v>36</v>
      </c>
      <c r="G631" t="s">
        <v>40</v>
      </c>
    </row>
    <row r="632" spans="1:7" hidden="1" x14ac:dyDescent="0.25">
      <c r="A632" t="s">
        <v>565</v>
      </c>
      <c r="B632" t="s">
        <v>566</v>
      </c>
      <c r="C632" t="s">
        <v>572</v>
      </c>
      <c r="D632" t="s">
        <v>88</v>
      </c>
      <c r="E632" t="s">
        <v>13</v>
      </c>
      <c r="F632" t="s">
        <v>36</v>
      </c>
      <c r="G632" t="s">
        <v>90</v>
      </c>
    </row>
    <row r="633" spans="1:7" hidden="1" x14ac:dyDescent="0.25">
      <c r="A633" t="s">
        <v>565</v>
      </c>
      <c r="B633" t="s">
        <v>566</v>
      </c>
      <c r="C633" t="s">
        <v>572</v>
      </c>
      <c r="D633" t="s">
        <v>91</v>
      </c>
      <c r="E633" t="s">
        <v>573</v>
      </c>
      <c r="F633" t="s">
        <v>36</v>
      </c>
      <c r="G633" t="s">
        <v>93</v>
      </c>
    </row>
    <row r="634" spans="1:7" hidden="1" x14ac:dyDescent="0.25">
      <c r="A634" t="s">
        <v>565</v>
      </c>
      <c r="B634" t="s">
        <v>566</v>
      </c>
      <c r="C634" t="s">
        <v>572</v>
      </c>
      <c r="D634" t="s">
        <v>94</v>
      </c>
      <c r="E634" t="s">
        <v>574</v>
      </c>
      <c r="F634" t="s">
        <v>36</v>
      </c>
      <c r="G634" t="s">
        <v>96</v>
      </c>
    </row>
    <row r="635" spans="1:7" hidden="1" x14ac:dyDescent="0.25">
      <c r="A635" t="s">
        <v>565</v>
      </c>
      <c r="B635" t="s">
        <v>566</v>
      </c>
      <c r="C635" t="s">
        <v>572</v>
      </c>
      <c r="D635" t="s">
        <v>97</v>
      </c>
      <c r="E635" t="s">
        <v>417</v>
      </c>
      <c r="F635" t="s">
        <v>36</v>
      </c>
      <c r="G635" t="s">
        <v>549</v>
      </c>
    </row>
    <row r="636" spans="1:7" hidden="1" x14ac:dyDescent="0.25">
      <c r="A636" t="s">
        <v>565</v>
      </c>
      <c r="B636" t="s">
        <v>566</v>
      </c>
      <c r="C636" t="s">
        <v>572</v>
      </c>
      <c r="D636" t="s">
        <v>100</v>
      </c>
      <c r="E636" t="s">
        <v>550</v>
      </c>
      <c r="F636" t="s">
        <v>36</v>
      </c>
      <c r="G636" t="s">
        <v>64</v>
      </c>
    </row>
    <row r="637" spans="1:7" hidden="1" x14ac:dyDescent="0.25">
      <c r="A637" t="s">
        <v>565</v>
      </c>
      <c r="B637" t="s">
        <v>566</v>
      </c>
      <c r="C637" t="s">
        <v>572</v>
      </c>
      <c r="D637" t="s">
        <v>102</v>
      </c>
      <c r="E637" t="s">
        <v>575</v>
      </c>
      <c r="F637" t="s">
        <v>36</v>
      </c>
      <c r="G637" t="s">
        <v>104</v>
      </c>
    </row>
    <row r="638" spans="1:7" hidden="1" x14ac:dyDescent="0.25">
      <c r="A638" t="s">
        <v>565</v>
      </c>
      <c r="B638" t="s">
        <v>566</v>
      </c>
      <c r="C638" t="s">
        <v>572</v>
      </c>
      <c r="D638" t="s">
        <v>109</v>
      </c>
      <c r="E638" t="s">
        <v>576</v>
      </c>
      <c r="F638" t="s">
        <v>36</v>
      </c>
      <c r="G638" t="s">
        <v>111</v>
      </c>
    </row>
    <row r="639" spans="1:7" hidden="1" x14ac:dyDescent="0.25">
      <c r="A639" t="s">
        <v>565</v>
      </c>
      <c r="B639" t="s">
        <v>566</v>
      </c>
      <c r="C639" t="s">
        <v>572</v>
      </c>
      <c r="D639" t="s">
        <v>112</v>
      </c>
      <c r="E639" t="s">
        <v>106</v>
      </c>
      <c r="F639" t="s">
        <v>36</v>
      </c>
      <c r="G639" t="s">
        <v>108</v>
      </c>
    </row>
    <row r="640" spans="1:7" hidden="1" x14ac:dyDescent="0.25">
      <c r="A640" t="s">
        <v>565</v>
      </c>
      <c r="B640" t="s">
        <v>566</v>
      </c>
      <c r="C640" t="s">
        <v>572</v>
      </c>
      <c r="D640" t="s">
        <v>278</v>
      </c>
      <c r="E640" t="s">
        <v>113</v>
      </c>
      <c r="F640" t="s">
        <v>36</v>
      </c>
      <c r="G640" t="s">
        <v>114</v>
      </c>
    </row>
    <row r="641" spans="1:7" hidden="1" x14ac:dyDescent="0.25">
      <c r="A641" t="s">
        <v>565</v>
      </c>
      <c r="B641" t="s">
        <v>566</v>
      </c>
      <c r="C641" t="s">
        <v>572</v>
      </c>
      <c r="D641" t="s">
        <v>115</v>
      </c>
      <c r="E641" t="s">
        <v>577</v>
      </c>
      <c r="F641" t="s">
        <v>36</v>
      </c>
      <c r="G641" t="s">
        <v>117</v>
      </c>
    </row>
    <row r="642" spans="1:7" hidden="1" x14ac:dyDescent="0.25">
      <c r="A642" t="s">
        <v>565</v>
      </c>
      <c r="B642" t="s">
        <v>566</v>
      </c>
      <c r="C642" t="s">
        <v>572</v>
      </c>
      <c r="D642" t="s">
        <v>121</v>
      </c>
      <c r="E642" t="s">
        <v>119</v>
      </c>
      <c r="F642" t="s">
        <v>36</v>
      </c>
      <c r="G642" t="s">
        <v>120</v>
      </c>
    </row>
    <row r="643" spans="1:7" hidden="1" x14ac:dyDescent="0.25">
      <c r="A643" t="s">
        <v>565</v>
      </c>
      <c r="B643" t="s">
        <v>566</v>
      </c>
      <c r="C643" t="s">
        <v>572</v>
      </c>
      <c r="D643" t="s">
        <v>124</v>
      </c>
      <c r="E643" t="s">
        <v>424</v>
      </c>
      <c r="F643" t="s">
        <v>36</v>
      </c>
      <c r="G643" t="s">
        <v>123</v>
      </c>
    </row>
    <row r="644" spans="1:7" hidden="1" x14ac:dyDescent="0.25">
      <c r="A644" t="s">
        <v>565</v>
      </c>
      <c r="B644" t="s">
        <v>566</v>
      </c>
      <c r="C644" t="s">
        <v>572</v>
      </c>
      <c r="D644" t="s">
        <v>129</v>
      </c>
      <c r="E644" t="s">
        <v>127</v>
      </c>
      <c r="F644" t="s">
        <v>36</v>
      </c>
      <c r="G644" t="s">
        <v>128</v>
      </c>
    </row>
    <row r="645" spans="1:7" hidden="1" x14ac:dyDescent="0.25">
      <c r="A645" t="s">
        <v>565</v>
      </c>
      <c r="B645" t="s">
        <v>566</v>
      </c>
      <c r="C645" t="s">
        <v>572</v>
      </c>
      <c r="D645" t="s">
        <v>131</v>
      </c>
      <c r="E645" t="s">
        <v>523</v>
      </c>
      <c r="F645" t="s">
        <v>36</v>
      </c>
      <c r="G645" t="s">
        <v>429</v>
      </c>
    </row>
    <row r="646" spans="1:7" hidden="1" x14ac:dyDescent="0.25">
      <c r="A646" t="s">
        <v>565</v>
      </c>
      <c r="B646" t="s">
        <v>566</v>
      </c>
      <c r="C646" t="s">
        <v>572</v>
      </c>
      <c r="D646" t="s">
        <v>134</v>
      </c>
      <c r="E646" t="s">
        <v>18</v>
      </c>
      <c r="F646" t="s">
        <v>36</v>
      </c>
      <c r="G646" t="s">
        <v>125</v>
      </c>
    </row>
    <row r="647" spans="1:7" hidden="1" x14ac:dyDescent="0.25">
      <c r="A647" t="s">
        <v>565</v>
      </c>
      <c r="B647" t="s">
        <v>566</v>
      </c>
      <c r="C647" t="s">
        <v>572</v>
      </c>
      <c r="D647" t="s">
        <v>136</v>
      </c>
      <c r="E647" t="s">
        <v>328</v>
      </c>
      <c r="F647" t="s">
        <v>36</v>
      </c>
      <c r="G647" t="s">
        <v>578</v>
      </c>
    </row>
    <row r="648" spans="1:7" hidden="1" x14ac:dyDescent="0.25">
      <c r="A648" t="s">
        <v>565</v>
      </c>
      <c r="B648" t="s">
        <v>566</v>
      </c>
      <c r="C648" t="s">
        <v>572</v>
      </c>
      <c r="D648" t="s">
        <v>334</v>
      </c>
      <c r="E648" t="s">
        <v>525</v>
      </c>
      <c r="F648" t="s">
        <v>36</v>
      </c>
      <c r="G648" t="s">
        <v>435</v>
      </c>
    </row>
    <row r="649" spans="1:7" hidden="1" x14ac:dyDescent="0.25">
      <c r="A649" t="s">
        <v>565</v>
      </c>
      <c r="B649" t="s">
        <v>566</v>
      </c>
      <c r="C649" t="s">
        <v>572</v>
      </c>
      <c r="D649" t="s">
        <v>139</v>
      </c>
      <c r="E649" t="s">
        <v>552</v>
      </c>
      <c r="F649" t="s">
        <v>36</v>
      </c>
      <c r="G649" t="s">
        <v>272</v>
      </c>
    </row>
    <row r="650" spans="1:7" hidden="1" x14ac:dyDescent="0.25">
      <c r="A650" t="s">
        <v>565</v>
      </c>
      <c r="B650" t="s">
        <v>566</v>
      </c>
      <c r="C650" t="s">
        <v>572</v>
      </c>
      <c r="D650" t="s">
        <v>337</v>
      </c>
      <c r="E650" t="s">
        <v>132</v>
      </c>
      <c r="F650" t="s">
        <v>36</v>
      </c>
      <c r="G650" t="s">
        <v>133</v>
      </c>
    </row>
    <row r="651" spans="1:7" hidden="1" x14ac:dyDescent="0.25">
      <c r="A651" t="s">
        <v>565</v>
      </c>
      <c r="B651" t="s">
        <v>566</v>
      </c>
      <c r="C651" t="s">
        <v>572</v>
      </c>
      <c r="D651" t="s">
        <v>341</v>
      </c>
      <c r="E651" t="s">
        <v>553</v>
      </c>
      <c r="F651" t="s">
        <v>36</v>
      </c>
      <c r="G651" t="s">
        <v>243</v>
      </c>
    </row>
    <row r="652" spans="1:7" hidden="1" x14ac:dyDescent="0.25">
      <c r="A652" t="s">
        <v>565</v>
      </c>
      <c r="B652" t="s">
        <v>566</v>
      </c>
      <c r="C652" t="s">
        <v>572</v>
      </c>
      <c r="D652" t="s">
        <v>579</v>
      </c>
      <c r="E652" t="s">
        <v>580</v>
      </c>
      <c r="F652" t="s">
        <v>36</v>
      </c>
      <c r="G652" t="s">
        <v>99</v>
      </c>
    </row>
    <row r="653" spans="1:7" hidden="1" x14ac:dyDescent="0.25">
      <c r="A653" t="s">
        <v>565</v>
      </c>
      <c r="B653" t="s">
        <v>566</v>
      </c>
      <c r="C653" t="s">
        <v>572</v>
      </c>
      <c r="D653" t="s">
        <v>344</v>
      </c>
      <c r="E653" t="s">
        <v>140</v>
      </c>
      <c r="F653" t="s">
        <v>36</v>
      </c>
      <c r="G653" t="s">
        <v>141</v>
      </c>
    </row>
    <row r="654" spans="1:7" hidden="1" x14ac:dyDescent="0.25">
      <c r="A654" t="s">
        <v>565</v>
      </c>
      <c r="B654" t="s">
        <v>566</v>
      </c>
      <c r="C654" t="s">
        <v>572</v>
      </c>
      <c r="D654" t="s">
        <v>528</v>
      </c>
      <c r="E654" t="s">
        <v>555</v>
      </c>
      <c r="F654" t="s">
        <v>36</v>
      </c>
      <c r="G654" t="s">
        <v>246</v>
      </c>
    </row>
    <row r="655" spans="1:7" hidden="1" x14ac:dyDescent="0.25">
      <c r="A655" t="s">
        <v>565</v>
      </c>
      <c r="B655" t="s">
        <v>566</v>
      </c>
      <c r="C655" t="s">
        <v>572</v>
      </c>
      <c r="D655" t="s">
        <v>529</v>
      </c>
      <c r="E655" t="s">
        <v>527</v>
      </c>
      <c r="F655" t="s">
        <v>36</v>
      </c>
      <c r="G655" t="s">
        <v>441</v>
      </c>
    </row>
    <row r="656" spans="1:7" hidden="1" x14ac:dyDescent="0.25">
      <c r="A656" t="s">
        <v>565</v>
      </c>
      <c r="B656" t="s">
        <v>566</v>
      </c>
      <c r="C656" t="s">
        <v>572</v>
      </c>
      <c r="D656" t="s">
        <v>556</v>
      </c>
      <c r="E656" t="s">
        <v>338</v>
      </c>
      <c r="F656" t="s">
        <v>36</v>
      </c>
      <c r="G656" t="s">
        <v>443</v>
      </c>
    </row>
    <row r="657" spans="1:7" hidden="1" x14ac:dyDescent="0.25">
      <c r="A657" t="s">
        <v>565</v>
      </c>
      <c r="B657" t="s">
        <v>566</v>
      </c>
      <c r="C657" t="s">
        <v>572</v>
      </c>
      <c r="D657" t="s">
        <v>557</v>
      </c>
      <c r="E657" t="s">
        <v>530</v>
      </c>
      <c r="F657" t="s">
        <v>36</v>
      </c>
      <c r="G657" t="s">
        <v>445</v>
      </c>
    </row>
    <row r="658" spans="1:7" hidden="1" x14ac:dyDescent="0.25">
      <c r="A658" t="s">
        <v>565</v>
      </c>
      <c r="B658" t="s">
        <v>566</v>
      </c>
      <c r="C658" t="s">
        <v>572</v>
      </c>
      <c r="E658" t="s">
        <v>84</v>
      </c>
      <c r="F658" t="s">
        <v>79</v>
      </c>
      <c r="G658" t="s">
        <v>85</v>
      </c>
    </row>
    <row r="659" spans="1:7" hidden="1" x14ac:dyDescent="0.25">
      <c r="A659" t="s">
        <v>565</v>
      </c>
      <c r="B659" t="s">
        <v>566</v>
      </c>
      <c r="C659" t="s">
        <v>581</v>
      </c>
      <c r="D659" t="s">
        <v>34</v>
      </c>
      <c r="E659" t="s">
        <v>12</v>
      </c>
      <c r="F659" t="s">
        <v>36</v>
      </c>
      <c r="G659" t="s">
        <v>37</v>
      </c>
    </row>
    <row r="660" spans="1:7" hidden="1" x14ac:dyDescent="0.25">
      <c r="A660" t="s">
        <v>565</v>
      </c>
      <c r="B660" t="s">
        <v>566</v>
      </c>
      <c r="C660" t="s">
        <v>581</v>
      </c>
      <c r="D660" t="s">
        <v>38</v>
      </c>
      <c r="E660" t="s">
        <v>39</v>
      </c>
      <c r="F660" t="s">
        <v>36</v>
      </c>
      <c r="G660" t="s">
        <v>40</v>
      </c>
    </row>
    <row r="661" spans="1:7" hidden="1" x14ac:dyDescent="0.25">
      <c r="A661" t="s">
        <v>565</v>
      </c>
      <c r="B661" t="s">
        <v>566</v>
      </c>
      <c r="C661" t="s">
        <v>581</v>
      </c>
      <c r="D661" t="s">
        <v>88</v>
      </c>
      <c r="E661" t="s">
        <v>13</v>
      </c>
      <c r="F661" t="s">
        <v>36</v>
      </c>
      <c r="G661" t="s">
        <v>90</v>
      </c>
    </row>
    <row r="662" spans="1:7" hidden="1" x14ac:dyDescent="0.25">
      <c r="A662" t="s">
        <v>565</v>
      </c>
      <c r="B662" t="s">
        <v>566</v>
      </c>
      <c r="C662" t="s">
        <v>581</v>
      </c>
      <c r="D662" t="s">
        <v>143</v>
      </c>
      <c r="E662" t="s">
        <v>159</v>
      </c>
      <c r="F662" t="s">
        <v>36</v>
      </c>
      <c r="G662" t="s">
        <v>160</v>
      </c>
    </row>
    <row r="663" spans="1:7" hidden="1" x14ac:dyDescent="0.25">
      <c r="A663" t="s">
        <v>565</v>
      </c>
      <c r="B663" t="s">
        <v>566</v>
      </c>
      <c r="C663" t="s">
        <v>581</v>
      </c>
      <c r="D663" t="s">
        <v>146</v>
      </c>
      <c r="E663" t="s">
        <v>162</v>
      </c>
      <c r="F663" t="s">
        <v>36</v>
      </c>
      <c r="G663" t="s">
        <v>163</v>
      </c>
    </row>
    <row r="664" spans="1:7" hidden="1" x14ac:dyDescent="0.25">
      <c r="A664" t="s">
        <v>565</v>
      </c>
      <c r="B664" t="s">
        <v>566</v>
      </c>
      <c r="C664" t="s">
        <v>581</v>
      </c>
      <c r="D664" t="s">
        <v>149</v>
      </c>
      <c r="E664" t="s">
        <v>582</v>
      </c>
      <c r="F664" t="s">
        <v>36</v>
      </c>
      <c r="G664" t="s">
        <v>145</v>
      </c>
    </row>
    <row r="665" spans="1:7" hidden="1" x14ac:dyDescent="0.25">
      <c r="A665" t="s">
        <v>565</v>
      </c>
      <c r="B665" t="s">
        <v>566</v>
      </c>
      <c r="C665" t="s">
        <v>581</v>
      </c>
      <c r="D665" t="s">
        <v>352</v>
      </c>
      <c r="E665" t="s">
        <v>583</v>
      </c>
      <c r="F665" t="s">
        <v>36</v>
      </c>
      <c r="G665" t="s">
        <v>148</v>
      </c>
    </row>
    <row r="666" spans="1:7" hidden="1" x14ac:dyDescent="0.25">
      <c r="A666" t="s">
        <v>565</v>
      </c>
      <c r="B666" t="s">
        <v>566</v>
      </c>
      <c r="C666" t="s">
        <v>581</v>
      </c>
      <c r="D666" t="s">
        <v>155</v>
      </c>
      <c r="E666" t="s">
        <v>150</v>
      </c>
      <c r="F666" t="s">
        <v>36</v>
      </c>
      <c r="G666" t="s">
        <v>151</v>
      </c>
    </row>
    <row r="667" spans="1:7" hidden="1" x14ac:dyDescent="0.25">
      <c r="A667" t="s">
        <v>565</v>
      </c>
      <c r="B667" t="s">
        <v>566</v>
      </c>
      <c r="C667" t="s">
        <v>581</v>
      </c>
      <c r="D667" t="s">
        <v>158</v>
      </c>
      <c r="E667" t="s">
        <v>532</v>
      </c>
      <c r="F667" t="s">
        <v>36</v>
      </c>
      <c r="G667" t="s">
        <v>252</v>
      </c>
    </row>
    <row r="668" spans="1:7" hidden="1" x14ac:dyDescent="0.25">
      <c r="A668" t="s">
        <v>565</v>
      </c>
      <c r="B668" t="s">
        <v>566</v>
      </c>
      <c r="C668" t="s">
        <v>581</v>
      </c>
      <c r="D668" t="s">
        <v>161</v>
      </c>
      <c r="E668" t="s">
        <v>533</v>
      </c>
      <c r="F668" t="s">
        <v>36</v>
      </c>
      <c r="G668" t="s">
        <v>157</v>
      </c>
    </row>
    <row r="669" spans="1:7" hidden="1" x14ac:dyDescent="0.25">
      <c r="A669" t="s">
        <v>565</v>
      </c>
      <c r="B669" t="s">
        <v>566</v>
      </c>
      <c r="C669" t="s">
        <v>584</v>
      </c>
      <c r="D669" t="s">
        <v>293</v>
      </c>
      <c r="E669" t="s">
        <v>294</v>
      </c>
      <c r="F669" t="s">
        <v>36</v>
      </c>
      <c r="G669" t="s">
        <v>37</v>
      </c>
    </row>
    <row r="670" spans="1:7" hidden="1" x14ac:dyDescent="0.25">
      <c r="A670" t="s">
        <v>565</v>
      </c>
      <c r="B670" t="s">
        <v>566</v>
      </c>
      <c r="C670" t="s">
        <v>584</v>
      </c>
      <c r="D670" t="s">
        <v>88</v>
      </c>
      <c r="E670" t="s">
        <v>89</v>
      </c>
      <c r="F670" t="s">
        <v>36</v>
      </c>
      <c r="G670" t="s">
        <v>90</v>
      </c>
    </row>
    <row r="671" spans="1:7" hidden="1" x14ac:dyDescent="0.25">
      <c r="A671" t="s">
        <v>565</v>
      </c>
      <c r="B671" t="s">
        <v>566</v>
      </c>
      <c r="C671" t="s">
        <v>584</v>
      </c>
      <c r="D671" t="s">
        <v>166</v>
      </c>
      <c r="E671" t="s">
        <v>167</v>
      </c>
      <c r="F671" t="s">
        <v>36</v>
      </c>
      <c r="G671" t="s">
        <v>168</v>
      </c>
    </row>
    <row r="672" spans="1:7" hidden="1" x14ac:dyDescent="0.25">
      <c r="A672" t="s">
        <v>565</v>
      </c>
      <c r="B672" t="s">
        <v>566</v>
      </c>
      <c r="C672" t="s">
        <v>585</v>
      </c>
      <c r="D672" t="s">
        <v>87</v>
      </c>
      <c r="E672" t="s">
        <v>12</v>
      </c>
      <c r="F672" t="s">
        <v>36</v>
      </c>
      <c r="G672" t="s">
        <v>40</v>
      </c>
    </row>
    <row r="673" spans="1:7" hidden="1" x14ac:dyDescent="0.25">
      <c r="A673" t="s">
        <v>565</v>
      </c>
      <c r="B673" t="s">
        <v>566</v>
      </c>
      <c r="C673" t="s">
        <v>585</v>
      </c>
      <c r="D673" t="s">
        <v>88</v>
      </c>
      <c r="E673" t="s">
        <v>89</v>
      </c>
      <c r="F673" t="s">
        <v>36</v>
      </c>
      <c r="G673" t="s">
        <v>90</v>
      </c>
    </row>
    <row r="674" spans="1:7" hidden="1" x14ac:dyDescent="0.25">
      <c r="A674" t="s">
        <v>565</v>
      </c>
      <c r="B674" t="s">
        <v>566</v>
      </c>
      <c r="C674" t="s">
        <v>585</v>
      </c>
      <c r="D674" t="s">
        <v>170</v>
      </c>
      <c r="E674" t="s">
        <v>171</v>
      </c>
      <c r="F674" t="s">
        <v>36</v>
      </c>
    </row>
    <row r="675" spans="1:7" hidden="1" x14ac:dyDescent="0.25">
      <c r="A675" t="s">
        <v>565</v>
      </c>
      <c r="B675" t="s">
        <v>566</v>
      </c>
      <c r="C675" t="s">
        <v>585</v>
      </c>
      <c r="D675" t="s">
        <v>172</v>
      </c>
      <c r="E675" t="s">
        <v>173</v>
      </c>
      <c r="F675" t="s">
        <v>36</v>
      </c>
    </row>
    <row r="676" spans="1:7" hidden="1" x14ac:dyDescent="0.25">
      <c r="A676" t="s">
        <v>565</v>
      </c>
      <c r="B676" t="s">
        <v>566</v>
      </c>
      <c r="C676" t="s">
        <v>585</v>
      </c>
      <c r="D676" t="s">
        <v>174</v>
      </c>
      <c r="E676" t="s">
        <v>175</v>
      </c>
      <c r="F676" t="s">
        <v>36</v>
      </c>
    </row>
    <row r="677" spans="1:7" x14ac:dyDescent="0.25">
      <c r="A677" t="s">
        <v>565</v>
      </c>
      <c r="B677" t="s">
        <v>566</v>
      </c>
      <c r="C677" t="s">
        <v>586</v>
      </c>
      <c r="D677" t="s">
        <v>34</v>
      </c>
      <c r="E677" t="s">
        <v>12</v>
      </c>
      <c r="F677" t="s">
        <v>36</v>
      </c>
      <c r="G677" t="s">
        <v>37</v>
      </c>
    </row>
    <row r="678" spans="1:7" x14ac:dyDescent="0.25">
      <c r="A678" t="s">
        <v>565</v>
      </c>
      <c r="B678" t="s">
        <v>566</v>
      </c>
      <c r="C678" t="s">
        <v>586</v>
      </c>
      <c r="D678" t="s">
        <v>38</v>
      </c>
      <c r="E678" t="s">
        <v>39</v>
      </c>
      <c r="F678" t="s">
        <v>36</v>
      </c>
      <c r="G678" t="s">
        <v>40</v>
      </c>
    </row>
    <row r="679" spans="1:7" x14ac:dyDescent="0.25">
      <c r="A679" t="s">
        <v>565</v>
      </c>
      <c r="B679" t="s">
        <v>566</v>
      </c>
      <c r="C679" t="s">
        <v>586</v>
      </c>
      <c r="D679" t="s">
        <v>88</v>
      </c>
      <c r="E679" t="s">
        <v>13</v>
      </c>
      <c r="F679" t="s">
        <v>36</v>
      </c>
      <c r="G679" t="s">
        <v>90</v>
      </c>
    </row>
    <row r="680" spans="1:7" x14ac:dyDescent="0.25">
      <c r="A680" t="s">
        <v>565</v>
      </c>
      <c r="B680" t="s">
        <v>566</v>
      </c>
      <c r="C680" t="s">
        <v>586</v>
      </c>
      <c r="D680" t="s">
        <v>34</v>
      </c>
      <c r="E680" t="s">
        <v>14</v>
      </c>
      <c r="F680" t="s">
        <v>36</v>
      </c>
      <c r="G680" t="s">
        <v>177</v>
      </c>
    </row>
    <row r="681" spans="1:7" x14ac:dyDescent="0.25">
      <c r="A681" t="s">
        <v>565</v>
      </c>
      <c r="B681" t="s">
        <v>566</v>
      </c>
      <c r="C681" t="s">
        <v>586</v>
      </c>
      <c r="D681" t="s">
        <v>88</v>
      </c>
      <c r="E681" t="s">
        <v>15</v>
      </c>
      <c r="F681" t="s">
        <v>36</v>
      </c>
      <c r="G681" t="s">
        <v>178</v>
      </c>
    </row>
    <row r="682" spans="1:7" x14ac:dyDescent="0.25">
      <c r="A682" t="s">
        <v>565</v>
      </c>
      <c r="B682" t="s">
        <v>566</v>
      </c>
      <c r="C682" t="s">
        <v>586</v>
      </c>
      <c r="D682" t="s">
        <v>109</v>
      </c>
      <c r="E682" t="s">
        <v>16</v>
      </c>
      <c r="F682" t="s">
        <v>36</v>
      </c>
    </row>
    <row r="683" spans="1:7" x14ac:dyDescent="0.25">
      <c r="A683" t="s">
        <v>565</v>
      </c>
      <c r="B683" t="s">
        <v>566</v>
      </c>
      <c r="C683" t="s">
        <v>586</v>
      </c>
      <c r="D683" t="s">
        <v>115</v>
      </c>
      <c r="E683" t="s">
        <v>17</v>
      </c>
      <c r="F683" t="s">
        <v>36</v>
      </c>
      <c r="G683" t="s">
        <v>180</v>
      </c>
    </row>
    <row r="684" spans="1:7" x14ac:dyDescent="0.25">
      <c r="A684" t="s">
        <v>565</v>
      </c>
      <c r="B684" t="s">
        <v>566</v>
      </c>
      <c r="C684" t="s">
        <v>586</v>
      </c>
      <c r="D684" t="s">
        <v>134</v>
      </c>
      <c r="E684" t="s">
        <v>18</v>
      </c>
      <c r="F684" t="s">
        <v>36</v>
      </c>
      <c r="G684" t="s">
        <v>182</v>
      </c>
    </row>
    <row r="685" spans="1:7" x14ac:dyDescent="0.25">
      <c r="A685" t="s">
        <v>565</v>
      </c>
      <c r="B685" t="s">
        <v>566</v>
      </c>
      <c r="C685" t="s">
        <v>586</v>
      </c>
      <c r="D685" t="s">
        <v>288</v>
      </c>
      <c r="E685" t="s">
        <v>19</v>
      </c>
      <c r="F685" t="s">
        <v>36</v>
      </c>
      <c r="G685" t="s">
        <v>183</v>
      </c>
    </row>
    <row r="686" spans="1:7" x14ac:dyDescent="0.25">
      <c r="A686" t="s">
        <v>565</v>
      </c>
      <c r="B686" t="s">
        <v>566</v>
      </c>
      <c r="C686" t="s">
        <v>586</v>
      </c>
      <c r="D686" t="s">
        <v>289</v>
      </c>
      <c r="E686" t="s">
        <v>20</v>
      </c>
      <c r="F686" t="s">
        <v>36</v>
      </c>
    </row>
    <row r="687" spans="1:7" hidden="1" x14ac:dyDescent="0.25">
      <c r="A687" t="s">
        <v>565</v>
      </c>
      <c r="B687" t="s">
        <v>566</v>
      </c>
      <c r="C687" t="s">
        <v>587</v>
      </c>
      <c r="D687" t="s">
        <v>34</v>
      </c>
      <c r="E687" t="s">
        <v>12</v>
      </c>
      <c r="F687" t="s">
        <v>36</v>
      </c>
    </row>
    <row r="688" spans="1:7" hidden="1" x14ac:dyDescent="0.25">
      <c r="A688" t="s">
        <v>565</v>
      </c>
      <c r="B688" t="s">
        <v>566</v>
      </c>
      <c r="C688" t="s">
        <v>587</v>
      </c>
      <c r="D688" t="s">
        <v>187</v>
      </c>
      <c r="E688" t="s">
        <v>13</v>
      </c>
      <c r="F688" t="s">
        <v>36</v>
      </c>
    </row>
    <row r="689" spans="1:7" hidden="1" x14ac:dyDescent="0.25">
      <c r="A689" t="s">
        <v>565</v>
      </c>
      <c r="B689" t="s">
        <v>566</v>
      </c>
      <c r="C689" t="s">
        <v>587</v>
      </c>
      <c r="D689" t="s">
        <v>188</v>
      </c>
      <c r="E689" t="s">
        <v>189</v>
      </c>
      <c r="F689" t="s">
        <v>36</v>
      </c>
    </row>
    <row r="690" spans="1:7" hidden="1" x14ac:dyDescent="0.25">
      <c r="A690" t="s">
        <v>565</v>
      </c>
      <c r="B690" t="s">
        <v>566</v>
      </c>
      <c r="C690" t="s">
        <v>587</v>
      </c>
      <c r="D690" t="s">
        <v>190</v>
      </c>
      <c r="E690" t="s">
        <v>191</v>
      </c>
      <c r="F690" t="s">
        <v>36</v>
      </c>
    </row>
    <row r="691" spans="1:7" hidden="1" x14ac:dyDescent="0.25">
      <c r="A691" t="s">
        <v>565</v>
      </c>
      <c r="B691" t="s">
        <v>566</v>
      </c>
      <c r="C691" t="s">
        <v>587</v>
      </c>
      <c r="D691" t="s">
        <v>192</v>
      </c>
      <c r="E691" t="s">
        <v>173</v>
      </c>
      <c r="F691" t="s">
        <v>36</v>
      </c>
    </row>
    <row r="692" spans="1:7" hidden="1" x14ac:dyDescent="0.25">
      <c r="A692" t="s">
        <v>565</v>
      </c>
      <c r="B692" t="s">
        <v>566</v>
      </c>
      <c r="C692" t="s">
        <v>587</v>
      </c>
      <c r="D692" t="s">
        <v>193</v>
      </c>
      <c r="E692" t="s">
        <v>194</v>
      </c>
      <c r="F692" t="s">
        <v>36</v>
      </c>
    </row>
    <row r="693" spans="1:7" hidden="1" x14ac:dyDescent="0.25">
      <c r="A693" t="s">
        <v>565</v>
      </c>
      <c r="B693" t="s">
        <v>566</v>
      </c>
      <c r="C693" t="s">
        <v>587</v>
      </c>
      <c r="D693" t="s">
        <v>195</v>
      </c>
      <c r="E693" t="s">
        <v>196</v>
      </c>
      <c r="F693" t="s">
        <v>36</v>
      </c>
    </row>
    <row r="694" spans="1:7" hidden="1" x14ac:dyDescent="0.25">
      <c r="A694" t="s">
        <v>565</v>
      </c>
      <c r="B694" t="s">
        <v>566</v>
      </c>
      <c r="C694" t="s">
        <v>587</v>
      </c>
      <c r="D694" t="s">
        <v>197</v>
      </c>
      <c r="E694" t="s">
        <v>198</v>
      </c>
      <c r="F694" t="s">
        <v>36</v>
      </c>
    </row>
    <row r="695" spans="1:7" hidden="1" x14ac:dyDescent="0.25">
      <c r="A695" t="s">
        <v>588</v>
      </c>
      <c r="B695" t="s">
        <v>589</v>
      </c>
      <c r="C695" t="s">
        <v>590</v>
      </c>
      <c r="D695" t="s">
        <v>34</v>
      </c>
      <c r="E695" t="s">
        <v>12</v>
      </c>
      <c r="F695" t="s">
        <v>36</v>
      </c>
      <c r="G695" t="s">
        <v>37</v>
      </c>
    </row>
    <row r="696" spans="1:7" hidden="1" x14ac:dyDescent="0.25">
      <c r="A696" t="s">
        <v>588</v>
      </c>
      <c r="B696" t="s">
        <v>589</v>
      </c>
      <c r="C696" t="s">
        <v>590</v>
      </c>
      <c r="D696" t="s">
        <v>38</v>
      </c>
      <c r="E696" t="s">
        <v>39</v>
      </c>
      <c r="F696" t="s">
        <v>36</v>
      </c>
      <c r="G696" t="s">
        <v>40</v>
      </c>
    </row>
    <row r="697" spans="1:7" hidden="1" x14ac:dyDescent="0.25">
      <c r="A697" t="s">
        <v>588</v>
      </c>
      <c r="B697" t="s">
        <v>589</v>
      </c>
      <c r="C697" t="s">
        <v>590</v>
      </c>
      <c r="D697" t="s">
        <v>41</v>
      </c>
      <c r="E697" t="s">
        <v>568</v>
      </c>
      <c r="F697" t="s">
        <v>36</v>
      </c>
      <c r="G697" t="s">
        <v>297</v>
      </c>
    </row>
    <row r="698" spans="1:7" hidden="1" x14ac:dyDescent="0.25">
      <c r="A698" t="s">
        <v>588</v>
      </c>
      <c r="B698" t="s">
        <v>589</v>
      </c>
      <c r="C698" t="s">
        <v>590</v>
      </c>
      <c r="D698" t="s">
        <v>44</v>
      </c>
      <c r="E698" t="s">
        <v>391</v>
      </c>
      <c r="F698" t="s">
        <v>36</v>
      </c>
      <c r="G698" t="s">
        <v>46</v>
      </c>
    </row>
    <row r="699" spans="1:7" hidden="1" x14ac:dyDescent="0.25">
      <c r="A699" t="s">
        <v>588</v>
      </c>
      <c r="B699" t="s">
        <v>589</v>
      </c>
      <c r="C699" t="s">
        <v>590</v>
      </c>
      <c r="D699" t="s">
        <v>47</v>
      </c>
      <c r="E699" t="s">
        <v>48</v>
      </c>
      <c r="F699" t="s">
        <v>36</v>
      </c>
      <c r="G699" t="s">
        <v>49</v>
      </c>
    </row>
    <row r="700" spans="1:7" hidden="1" x14ac:dyDescent="0.25">
      <c r="A700" t="s">
        <v>588</v>
      </c>
      <c r="B700" t="s">
        <v>589</v>
      </c>
      <c r="C700" t="s">
        <v>590</v>
      </c>
      <c r="D700" t="s">
        <v>50</v>
      </c>
      <c r="E700" t="s">
        <v>51</v>
      </c>
      <c r="F700" t="s">
        <v>36</v>
      </c>
      <c r="G700" t="s">
        <v>52</v>
      </c>
    </row>
    <row r="701" spans="1:7" hidden="1" x14ac:dyDescent="0.25">
      <c r="A701" t="s">
        <v>588</v>
      </c>
      <c r="B701" t="s">
        <v>589</v>
      </c>
      <c r="C701" t="s">
        <v>590</v>
      </c>
      <c r="D701" t="s">
        <v>53</v>
      </c>
      <c r="E701" t="s">
        <v>541</v>
      </c>
      <c r="F701" t="s">
        <v>36</v>
      </c>
      <c r="G701" t="s">
        <v>272</v>
      </c>
    </row>
    <row r="702" spans="1:7" hidden="1" x14ac:dyDescent="0.25">
      <c r="A702" t="s">
        <v>588</v>
      </c>
      <c r="B702" t="s">
        <v>589</v>
      </c>
      <c r="C702" t="s">
        <v>590</v>
      </c>
      <c r="D702" t="s">
        <v>56</v>
      </c>
      <c r="E702" t="s">
        <v>57</v>
      </c>
      <c r="F702" t="s">
        <v>36</v>
      </c>
      <c r="G702" t="s">
        <v>58</v>
      </c>
    </row>
    <row r="703" spans="1:7" hidden="1" x14ac:dyDescent="0.25">
      <c r="A703" t="s">
        <v>588</v>
      </c>
      <c r="B703" t="s">
        <v>589</v>
      </c>
      <c r="C703" t="s">
        <v>590</v>
      </c>
      <c r="D703" t="s">
        <v>59</v>
      </c>
      <c r="E703" t="s">
        <v>60</v>
      </c>
      <c r="F703" t="s">
        <v>36</v>
      </c>
      <c r="G703" t="s">
        <v>61</v>
      </c>
    </row>
    <row r="704" spans="1:7" hidden="1" x14ac:dyDescent="0.25">
      <c r="A704" t="s">
        <v>588</v>
      </c>
      <c r="B704" t="s">
        <v>589</v>
      </c>
      <c r="C704" t="s">
        <v>590</v>
      </c>
      <c r="D704" t="s">
        <v>62</v>
      </c>
      <c r="E704" t="s">
        <v>542</v>
      </c>
      <c r="F704" t="s">
        <v>36</v>
      </c>
      <c r="G704" t="s">
        <v>64</v>
      </c>
    </row>
    <row r="705" spans="1:7" hidden="1" x14ac:dyDescent="0.25">
      <c r="A705" t="s">
        <v>588</v>
      </c>
      <c r="B705" t="s">
        <v>589</v>
      </c>
      <c r="C705" t="s">
        <v>590</v>
      </c>
      <c r="D705" t="s">
        <v>65</v>
      </c>
      <c r="E705" t="s">
        <v>569</v>
      </c>
      <c r="F705" t="s">
        <v>36</v>
      </c>
      <c r="G705" t="s">
        <v>67</v>
      </c>
    </row>
    <row r="706" spans="1:7" hidden="1" x14ac:dyDescent="0.25">
      <c r="A706" t="s">
        <v>588</v>
      </c>
      <c r="B706" t="s">
        <v>589</v>
      </c>
      <c r="C706" t="s">
        <v>590</v>
      </c>
      <c r="D706" t="s">
        <v>512</v>
      </c>
      <c r="E706" t="s">
        <v>513</v>
      </c>
      <c r="F706" t="s">
        <v>36</v>
      </c>
      <c r="G706" t="s">
        <v>514</v>
      </c>
    </row>
    <row r="707" spans="1:7" hidden="1" x14ac:dyDescent="0.25">
      <c r="A707" t="s">
        <v>588</v>
      </c>
      <c r="B707" t="s">
        <v>589</v>
      </c>
      <c r="C707" t="s">
        <v>590</v>
      </c>
      <c r="D707" t="s">
        <v>68</v>
      </c>
      <c r="E707" t="s">
        <v>570</v>
      </c>
      <c r="F707" t="s">
        <v>36</v>
      </c>
      <c r="G707" t="s">
        <v>70</v>
      </c>
    </row>
    <row r="708" spans="1:7" hidden="1" x14ac:dyDescent="0.25">
      <c r="A708" t="s">
        <v>588</v>
      </c>
      <c r="B708" t="s">
        <v>589</v>
      </c>
      <c r="C708" t="s">
        <v>590</v>
      </c>
      <c r="D708" t="s">
        <v>515</v>
      </c>
      <c r="E708" t="s">
        <v>516</v>
      </c>
      <c r="F708" t="s">
        <v>36</v>
      </c>
      <c r="G708" t="s">
        <v>517</v>
      </c>
    </row>
    <row r="709" spans="1:7" hidden="1" x14ac:dyDescent="0.25">
      <c r="A709" t="s">
        <v>588</v>
      </c>
      <c r="B709" t="s">
        <v>589</v>
      </c>
      <c r="C709" t="s">
        <v>590</v>
      </c>
      <c r="D709" t="s">
        <v>71</v>
      </c>
      <c r="E709" t="s">
        <v>571</v>
      </c>
      <c r="F709" t="s">
        <v>36</v>
      </c>
      <c r="G709" t="s">
        <v>73</v>
      </c>
    </row>
    <row r="710" spans="1:7" hidden="1" x14ac:dyDescent="0.25">
      <c r="A710" t="s">
        <v>588</v>
      </c>
      <c r="B710" t="s">
        <v>589</v>
      </c>
      <c r="C710" t="s">
        <v>590</v>
      </c>
      <c r="D710" t="s">
        <v>518</v>
      </c>
      <c r="E710" t="s">
        <v>519</v>
      </c>
      <c r="F710" t="s">
        <v>36</v>
      </c>
      <c r="G710" t="s">
        <v>520</v>
      </c>
    </row>
    <row r="711" spans="1:7" hidden="1" x14ac:dyDescent="0.25">
      <c r="A711" t="s">
        <v>588</v>
      </c>
      <c r="B711" t="s">
        <v>589</v>
      </c>
      <c r="C711" t="s">
        <v>590</v>
      </c>
      <c r="D711" t="s">
        <v>74</v>
      </c>
      <c r="E711" t="s">
        <v>543</v>
      </c>
      <c r="F711" t="s">
        <v>79</v>
      </c>
      <c r="G711" t="s">
        <v>402</v>
      </c>
    </row>
    <row r="712" spans="1:7" hidden="1" x14ac:dyDescent="0.25">
      <c r="A712" t="s">
        <v>588</v>
      </c>
      <c r="B712" t="s">
        <v>589</v>
      </c>
      <c r="C712" t="s">
        <v>590</v>
      </c>
      <c r="D712" t="s">
        <v>77</v>
      </c>
      <c r="E712" t="s">
        <v>544</v>
      </c>
      <c r="F712" t="s">
        <v>36</v>
      </c>
      <c r="G712" t="s">
        <v>545</v>
      </c>
    </row>
    <row r="713" spans="1:7" hidden="1" x14ac:dyDescent="0.25">
      <c r="A713" t="s">
        <v>588</v>
      </c>
      <c r="B713" t="s">
        <v>589</v>
      </c>
      <c r="C713" t="s">
        <v>590</v>
      </c>
      <c r="D713" t="s">
        <v>81</v>
      </c>
      <c r="E713" t="s">
        <v>546</v>
      </c>
      <c r="F713" t="s">
        <v>36</v>
      </c>
      <c r="G713" t="s">
        <v>547</v>
      </c>
    </row>
    <row r="714" spans="1:7" hidden="1" x14ac:dyDescent="0.25">
      <c r="A714" t="s">
        <v>588</v>
      </c>
      <c r="B714" t="s">
        <v>589</v>
      </c>
      <c r="C714" t="s">
        <v>590</v>
      </c>
      <c r="E714" t="s">
        <v>84</v>
      </c>
      <c r="F714" t="s">
        <v>79</v>
      </c>
      <c r="G714" t="s">
        <v>85</v>
      </c>
    </row>
    <row r="715" spans="1:7" hidden="1" x14ac:dyDescent="0.25">
      <c r="A715" t="s">
        <v>588</v>
      </c>
      <c r="B715" t="s">
        <v>589</v>
      </c>
      <c r="C715" t="s">
        <v>591</v>
      </c>
      <c r="D715" t="s">
        <v>87</v>
      </c>
      <c r="E715" t="s">
        <v>12</v>
      </c>
      <c r="F715" t="s">
        <v>36</v>
      </c>
      <c r="G715" t="s">
        <v>37</v>
      </c>
    </row>
    <row r="716" spans="1:7" hidden="1" x14ac:dyDescent="0.25">
      <c r="A716" t="s">
        <v>588</v>
      </c>
      <c r="B716" t="s">
        <v>589</v>
      </c>
      <c r="C716" t="s">
        <v>591</v>
      </c>
      <c r="D716" t="s">
        <v>38</v>
      </c>
      <c r="E716" t="s">
        <v>39</v>
      </c>
      <c r="F716" t="s">
        <v>36</v>
      </c>
      <c r="G716" t="s">
        <v>40</v>
      </c>
    </row>
    <row r="717" spans="1:7" hidden="1" x14ac:dyDescent="0.25">
      <c r="A717" t="s">
        <v>588</v>
      </c>
      <c r="B717" t="s">
        <v>589</v>
      </c>
      <c r="C717" t="s">
        <v>591</v>
      </c>
      <c r="D717" t="s">
        <v>88</v>
      </c>
      <c r="E717" t="s">
        <v>13</v>
      </c>
      <c r="F717" t="s">
        <v>36</v>
      </c>
      <c r="G717" t="s">
        <v>90</v>
      </c>
    </row>
    <row r="718" spans="1:7" hidden="1" x14ac:dyDescent="0.25">
      <c r="A718" t="s">
        <v>588</v>
      </c>
      <c r="B718" t="s">
        <v>589</v>
      </c>
      <c r="C718" t="s">
        <v>591</v>
      </c>
      <c r="D718" t="s">
        <v>91</v>
      </c>
      <c r="E718" t="s">
        <v>573</v>
      </c>
      <c r="F718" t="s">
        <v>36</v>
      </c>
      <c r="G718" t="s">
        <v>93</v>
      </c>
    </row>
    <row r="719" spans="1:7" hidden="1" x14ac:dyDescent="0.25">
      <c r="A719" t="s">
        <v>588</v>
      </c>
      <c r="B719" t="s">
        <v>589</v>
      </c>
      <c r="C719" t="s">
        <v>591</v>
      </c>
      <c r="D719" t="s">
        <v>94</v>
      </c>
      <c r="E719" t="s">
        <v>574</v>
      </c>
      <c r="F719" t="s">
        <v>36</v>
      </c>
      <c r="G719" t="s">
        <v>96</v>
      </c>
    </row>
    <row r="720" spans="1:7" hidden="1" x14ac:dyDescent="0.25">
      <c r="A720" t="s">
        <v>588</v>
      </c>
      <c r="B720" t="s">
        <v>589</v>
      </c>
      <c r="C720" t="s">
        <v>591</v>
      </c>
      <c r="D720" t="s">
        <v>97</v>
      </c>
      <c r="E720" t="s">
        <v>417</v>
      </c>
      <c r="F720" t="s">
        <v>36</v>
      </c>
      <c r="G720" t="s">
        <v>549</v>
      </c>
    </row>
    <row r="721" spans="1:7" hidden="1" x14ac:dyDescent="0.25">
      <c r="A721" t="s">
        <v>588</v>
      </c>
      <c r="B721" t="s">
        <v>589</v>
      </c>
      <c r="C721" t="s">
        <v>591</v>
      </c>
      <c r="D721" t="s">
        <v>100</v>
      </c>
      <c r="E721" t="s">
        <v>550</v>
      </c>
      <c r="F721" t="s">
        <v>36</v>
      </c>
      <c r="G721" t="s">
        <v>64</v>
      </c>
    </row>
    <row r="722" spans="1:7" hidden="1" x14ac:dyDescent="0.25">
      <c r="A722" t="s">
        <v>588</v>
      </c>
      <c r="B722" t="s">
        <v>589</v>
      </c>
      <c r="C722" t="s">
        <v>591</v>
      </c>
      <c r="D722" t="s">
        <v>102</v>
      </c>
      <c r="E722" t="s">
        <v>575</v>
      </c>
      <c r="F722" t="s">
        <v>36</v>
      </c>
      <c r="G722" t="s">
        <v>104</v>
      </c>
    </row>
    <row r="723" spans="1:7" hidden="1" x14ac:dyDescent="0.25">
      <c r="A723" t="s">
        <v>588</v>
      </c>
      <c r="B723" t="s">
        <v>589</v>
      </c>
      <c r="C723" t="s">
        <v>591</v>
      </c>
      <c r="D723" t="s">
        <v>109</v>
      </c>
      <c r="E723" t="s">
        <v>576</v>
      </c>
      <c r="F723" t="s">
        <v>36</v>
      </c>
      <c r="G723" t="s">
        <v>111</v>
      </c>
    </row>
    <row r="724" spans="1:7" hidden="1" x14ac:dyDescent="0.25">
      <c r="A724" t="s">
        <v>588</v>
      </c>
      <c r="B724" t="s">
        <v>589</v>
      </c>
      <c r="C724" t="s">
        <v>591</v>
      </c>
      <c r="D724" t="s">
        <v>112</v>
      </c>
      <c r="E724" t="s">
        <v>106</v>
      </c>
      <c r="F724" t="s">
        <v>36</v>
      </c>
      <c r="G724" t="s">
        <v>108</v>
      </c>
    </row>
    <row r="725" spans="1:7" hidden="1" x14ac:dyDescent="0.25">
      <c r="A725" t="s">
        <v>588</v>
      </c>
      <c r="B725" t="s">
        <v>589</v>
      </c>
      <c r="C725" t="s">
        <v>591</v>
      </c>
      <c r="D725" t="s">
        <v>278</v>
      </c>
      <c r="E725" t="s">
        <v>113</v>
      </c>
      <c r="F725" t="s">
        <v>36</v>
      </c>
      <c r="G725" t="s">
        <v>114</v>
      </c>
    </row>
    <row r="726" spans="1:7" hidden="1" x14ac:dyDescent="0.25">
      <c r="A726" t="s">
        <v>588</v>
      </c>
      <c r="B726" t="s">
        <v>589</v>
      </c>
      <c r="C726" t="s">
        <v>591</v>
      </c>
      <c r="D726" t="s">
        <v>115</v>
      </c>
      <c r="E726" t="s">
        <v>577</v>
      </c>
      <c r="F726" t="s">
        <v>36</v>
      </c>
      <c r="G726" t="s">
        <v>117</v>
      </c>
    </row>
    <row r="727" spans="1:7" hidden="1" x14ac:dyDescent="0.25">
      <c r="A727" t="s">
        <v>588</v>
      </c>
      <c r="B727" t="s">
        <v>589</v>
      </c>
      <c r="C727" t="s">
        <v>591</v>
      </c>
      <c r="D727" t="s">
        <v>121</v>
      </c>
      <c r="E727" t="s">
        <v>119</v>
      </c>
      <c r="F727" t="s">
        <v>36</v>
      </c>
      <c r="G727" t="s">
        <v>120</v>
      </c>
    </row>
    <row r="728" spans="1:7" hidden="1" x14ac:dyDescent="0.25">
      <c r="A728" t="s">
        <v>588</v>
      </c>
      <c r="B728" t="s">
        <v>589</v>
      </c>
      <c r="C728" t="s">
        <v>591</v>
      </c>
      <c r="D728" t="s">
        <v>124</v>
      </c>
      <c r="E728" t="s">
        <v>424</v>
      </c>
      <c r="F728" t="s">
        <v>36</v>
      </c>
      <c r="G728" t="s">
        <v>123</v>
      </c>
    </row>
    <row r="729" spans="1:7" hidden="1" x14ac:dyDescent="0.25">
      <c r="A729" t="s">
        <v>588</v>
      </c>
      <c r="B729" t="s">
        <v>589</v>
      </c>
      <c r="C729" t="s">
        <v>591</v>
      </c>
      <c r="D729" t="s">
        <v>129</v>
      </c>
      <c r="E729" t="s">
        <v>127</v>
      </c>
      <c r="F729" t="s">
        <v>36</v>
      </c>
      <c r="G729" t="s">
        <v>128</v>
      </c>
    </row>
    <row r="730" spans="1:7" hidden="1" x14ac:dyDescent="0.25">
      <c r="A730" t="s">
        <v>588</v>
      </c>
      <c r="B730" t="s">
        <v>589</v>
      </c>
      <c r="C730" t="s">
        <v>591</v>
      </c>
      <c r="D730" t="s">
        <v>131</v>
      </c>
      <c r="E730" t="s">
        <v>523</v>
      </c>
      <c r="F730" t="s">
        <v>36</v>
      </c>
      <c r="G730" t="s">
        <v>429</v>
      </c>
    </row>
    <row r="731" spans="1:7" hidden="1" x14ac:dyDescent="0.25">
      <c r="A731" t="s">
        <v>588</v>
      </c>
      <c r="B731" t="s">
        <v>589</v>
      </c>
      <c r="C731" t="s">
        <v>591</v>
      </c>
      <c r="D731" t="s">
        <v>134</v>
      </c>
      <c r="E731" t="s">
        <v>18</v>
      </c>
      <c r="F731" t="s">
        <v>36</v>
      </c>
      <c r="G731" t="s">
        <v>125</v>
      </c>
    </row>
    <row r="732" spans="1:7" hidden="1" x14ac:dyDescent="0.25">
      <c r="A732" t="s">
        <v>588</v>
      </c>
      <c r="B732" t="s">
        <v>589</v>
      </c>
      <c r="C732" t="s">
        <v>591</v>
      </c>
      <c r="D732" t="s">
        <v>136</v>
      </c>
      <c r="E732" t="s">
        <v>328</v>
      </c>
      <c r="F732" t="s">
        <v>36</v>
      </c>
      <c r="G732" t="s">
        <v>578</v>
      </c>
    </row>
    <row r="733" spans="1:7" hidden="1" x14ac:dyDescent="0.25">
      <c r="A733" t="s">
        <v>588</v>
      </c>
      <c r="B733" t="s">
        <v>589</v>
      </c>
      <c r="C733" t="s">
        <v>591</v>
      </c>
      <c r="D733" t="s">
        <v>334</v>
      </c>
      <c r="E733" t="s">
        <v>525</v>
      </c>
      <c r="F733" t="s">
        <v>36</v>
      </c>
      <c r="G733" t="s">
        <v>435</v>
      </c>
    </row>
    <row r="734" spans="1:7" hidden="1" x14ac:dyDescent="0.25">
      <c r="A734" t="s">
        <v>588</v>
      </c>
      <c r="B734" t="s">
        <v>589</v>
      </c>
      <c r="C734" t="s">
        <v>591</v>
      </c>
      <c r="D734" t="s">
        <v>139</v>
      </c>
      <c r="E734" t="s">
        <v>552</v>
      </c>
      <c r="F734" t="s">
        <v>36</v>
      </c>
      <c r="G734" t="s">
        <v>55</v>
      </c>
    </row>
    <row r="735" spans="1:7" hidden="1" x14ac:dyDescent="0.25">
      <c r="A735" t="s">
        <v>588</v>
      </c>
      <c r="B735" t="s">
        <v>589</v>
      </c>
      <c r="C735" t="s">
        <v>591</v>
      </c>
      <c r="D735" t="s">
        <v>337</v>
      </c>
      <c r="E735" t="s">
        <v>132</v>
      </c>
      <c r="F735" t="s">
        <v>36</v>
      </c>
      <c r="G735" t="s">
        <v>133</v>
      </c>
    </row>
    <row r="736" spans="1:7" hidden="1" x14ac:dyDescent="0.25">
      <c r="A736" t="s">
        <v>588</v>
      </c>
      <c r="B736" t="s">
        <v>589</v>
      </c>
      <c r="C736" t="s">
        <v>591</v>
      </c>
      <c r="D736" t="s">
        <v>341</v>
      </c>
      <c r="E736" t="s">
        <v>553</v>
      </c>
      <c r="F736" t="s">
        <v>36</v>
      </c>
      <c r="G736" t="s">
        <v>243</v>
      </c>
    </row>
    <row r="737" spans="1:7" hidden="1" x14ac:dyDescent="0.25">
      <c r="A737" t="s">
        <v>588</v>
      </c>
      <c r="B737" t="s">
        <v>589</v>
      </c>
      <c r="C737" t="s">
        <v>591</v>
      </c>
      <c r="D737" t="s">
        <v>579</v>
      </c>
      <c r="E737" t="s">
        <v>580</v>
      </c>
      <c r="F737" t="s">
        <v>36</v>
      </c>
      <c r="G737" t="s">
        <v>99</v>
      </c>
    </row>
    <row r="738" spans="1:7" hidden="1" x14ac:dyDescent="0.25">
      <c r="A738" t="s">
        <v>588</v>
      </c>
      <c r="B738" t="s">
        <v>589</v>
      </c>
      <c r="C738" t="s">
        <v>591</v>
      </c>
      <c r="D738" t="s">
        <v>344</v>
      </c>
      <c r="E738" t="s">
        <v>140</v>
      </c>
      <c r="F738" t="s">
        <v>36</v>
      </c>
      <c r="G738" t="s">
        <v>141</v>
      </c>
    </row>
    <row r="739" spans="1:7" hidden="1" x14ac:dyDescent="0.25">
      <c r="A739" t="s">
        <v>588</v>
      </c>
      <c r="B739" t="s">
        <v>589</v>
      </c>
      <c r="C739" t="s">
        <v>591</v>
      </c>
      <c r="D739" t="s">
        <v>528</v>
      </c>
      <c r="E739" t="s">
        <v>555</v>
      </c>
      <c r="F739" t="s">
        <v>36</v>
      </c>
      <c r="G739" t="s">
        <v>246</v>
      </c>
    </row>
    <row r="740" spans="1:7" hidden="1" x14ac:dyDescent="0.25">
      <c r="A740" t="s">
        <v>588</v>
      </c>
      <c r="B740" t="s">
        <v>589</v>
      </c>
      <c r="C740" t="s">
        <v>591</v>
      </c>
      <c r="D740" t="s">
        <v>529</v>
      </c>
      <c r="E740" t="s">
        <v>527</v>
      </c>
      <c r="F740" t="s">
        <v>36</v>
      </c>
      <c r="G740" t="s">
        <v>441</v>
      </c>
    </row>
    <row r="741" spans="1:7" hidden="1" x14ac:dyDescent="0.25">
      <c r="A741" t="s">
        <v>588</v>
      </c>
      <c r="B741" t="s">
        <v>589</v>
      </c>
      <c r="C741" t="s">
        <v>591</v>
      </c>
      <c r="D741" t="s">
        <v>556</v>
      </c>
      <c r="E741" t="s">
        <v>338</v>
      </c>
      <c r="F741" t="s">
        <v>36</v>
      </c>
      <c r="G741" t="s">
        <v>443</v>
      </c>
    </row>
    <row r="742" spans="1:7" hidden="1" x14ac:dyDescent="0.25">
      <c r="A742" t="s">
        <v>588</v>
      </c>
      <c r="B742" t="s">
        <v>589</v>
      </c>
      <c r="C742" t="s">
        <v>591</v>
      </c>
      <c r="D742" t="s">
        <v>557</v>
      </c>
      <c r="E742" t="s">
        <v>530</v>
      </c>
      <c r="F742" t="s">
        <v>36</v>
      </c>
      <c r="G742" t="s">
        <v>445</v>
      </c>
    </row>
    <row r="743" spans="1:7" hidden="1" x14ac:dyDescent="0.25">
      <c r="A743" t="s">
        <v>588</v>
      </c>
      <c r="B743" t="s">
        <v>589</v>
      </c>
      <c r="C743" t="s">
        <v>591</v>
      </c>
      <c r="D743" t="s">
        <v>558</v>
      </c>
      <c r="E743" t="s">
        <v>455</v>
      </c>
      <c r="F743" t="s">
        <v>36</v>
      </c>
      <c r="G743" t="s">
        <v>592</v>
      </c>
    </row>
    <row r="744" spans="1:7" hidden="1" x14ac:dyDescent="0.25">
      <c r="A744" t="s">
        <v>588</v>
      </c>
      <c r="B744" t="s">
        <v>589</v>
      </c>
      <c r="C744" t="s">
        <v>591</v>
      </c>
      <c r="E744" t="s">
        <v>84</v>
      </c>
      <c r="F744" t="s">
        <v>79</v>
      </c>
      <c r="G744" t="s">
        <v>85</v>
      </c>
    </row>
    <row r="745" spans="1:7" hidden="1" x14ac:dyDescent="0.25">
      <c r="A745" t="s">
        <v>588</v>
      </c>
      <c r="B745" t="s">
        <v>589</v>
      </c>
      <c r="C745" t="s">
        <v>593</v>
      </c>
      <c r="D745" t="s">
        <v>34</v>
      </c>
      <c r="E745" t="s">
        <v>12</v>
      </c>
      <c r="F745" t="s">
        <v>36</v>
      </c>
      <c r="G745" t="s">
        <v>37</v>
      </c>
    </row>
    <row r="746" spans="1:7" hidden="1" x14ac:dyDescent="0.25">
      <c r="A746" t="s">
        <v>588</v>
      </c>
      <c r="B746" t="s">
        <v>589</v>
      </c>
      <c r="C746" t="s">
        <v>593</v>
      </c>
      <c r="D746" t="s">
        <v>38</v>
      </c>
      <c r="E746" t="s">
        <v>39</v>
      </c>
      <c r="F746" t="s">
        <v>36</v>
      </c>
      <c r="G746" t="s">
        <v>40</v>
      </c>
    </row>
    <row r="747" spans="1:7" hidden="1" x14ac:dyDescent="0.25">
      <c r="A747" t="s">
        <v>588</v>
      </c>
      <c r="B747" t="s">
        <v>589</v>
      </c>
      <c r="C747" t="s">
        <v>593</v>
      </c>
      <c r="D747" t="s">
        <v>88</v>
      </c>
      <c r="E747" t="s">
        <v>13</v>
      </c>
      <c r="F747" t="s">
        <v>36</v>
      </c>
      <c r="G747" t="s">
        <v>90</v>
      </c>
    </row>
    <row r="748" spans="1:7" hidden="1" x14ac:dyDescent="0.25">
      <c r="A748" t="s">
        <v>588</v>
      </c>
      <c r="B748" t="s">
        <v>589</v>
      </c>
      <c r="C748" t="s">
        <v>593</v>
      </c>
      <c r="D748" t="s">
        <v>143</v>
      </c>
      <c r="E748" t="s">
        <v>159</v>
      </c>
      <c r="F748" t="s">
        <v>36</v>
      </c>
      <c r="G748" t="s">
        <v>160</v>
      </c>
    </row>
    <row r="749" spans="1:7" hidden="1" x14ac:dyDescent="0.25">
      <c r="A749" t="s">
        <v>588</v>
      </c>
      <c r="B749" t="s">
        <v>589</v>
      </c>
      <c r="C749" t="s">
        <v>593</v>
      </c>
      <c r="D749" t="s">
        <v>146</v>
      </c>
      <c r="E749" t="s">
        <v>162</v>
      </c>
      <c r="F749" t="s">
        <v>36</v>
      </c>
      <c r="G749" t="s">
        <v>163</v>
      </c>
    </row>
    <row r="750" spans="1:7" hidden="1" x14ac:dyDescent="0.25">
      <c r="A750" t="s">
        <v>588</v>
      </c>
      <c r="B750" t="s">
        <v>589</v>
      </c>
      <c r="C750" t="s">
        <v>593</v>
      </c>
      <c r="D750" t="s">
        <v>149</v>
      </c>
      <c r="E750" t="s">
        <v>582</v>
      </c>
      <c r="F750" t="s">
        <v>36</v>
      </c>
      <c r="G750" t="s">
        <v>145</v>
      </c>
    </row>
    <row r="751" spans="1:7" hidden="1" x14ac:dyDescent="0.25">
      <c r="A751" t="s">
        <v>588</v>
      </c>
      <c r="B751" t="s">
        <v>589</v>
      </c>
      <c r="C751" t="s">
        <v>593</v>
      </c>
      <c r="D751" t="s">
        <v>352</v>
      </c>
      <c r="E751" t="s">
        <v>583</v>
      </c>
      <c r="F751" t="s">
        <v>36</v>
      </c>
      <c r="G751" t="s">
        <v>148</v>
      </c>
    </row>
    <row r="752" spans="1:7" hidden="1" x14ac:dyDescent="0.25">
      <c r="A752" t="s">
        <v>588</v>
      </c>
      <c r="B752" t="s">
        <v>589</v>
      </c>
      <c r="C752" t="s">
        <v>593</v>
      </c>
      <c r="D752" t="s">
        <v>155</v>
      </c>
      <c r="E752" t="s">
        <v>150</v>
      </c>
      <c r="F752" t="s">
        <v>36</v>
      </c>
      <c r="G752" t="s">
        <v>151</v>
      </c>
    </row>
    <row r="753" spans="1:7" hidden="1" x14ac:dyDescent="0.25">
      <c r="A753" t="s">
        <v>588</v>
      </c>
      <c r="B753" t="s">
        <v>589</v>
      </c>
      <c r="C753" t="s">
        <v>593</v>
      </c>
      <c r="D753" t="s">
        <v>158</v>
      </c>
      <c r="E753" t="s">
        <v>532</v>
      </c>
      <c r="F753" t="s">
        <v>36</v>
      </c>
      <c r="G753" t="s">
        <v>252</v>
      </c>
    </row>
    <row r="754" spans="1:7" hidden="1" x14ac:dyDescent="0.25">
      <c r="A754" t="s">
        <v>588</v>
      </c>
      <c r="B754" t="s">
        <v>589</v>
      </c>
      <c r="C754" t="s">
        <v>593</v>
      </c>
      <c r="D754" t="s">
        <v>161</v>
      </c>
      <c r="E754" t="s">
        <v>533</v>
      </c>
      <c r="F754" t="s">
        <v>36</v>
      </c>
      <c r="G754" t="s">
        <v>157</v>
      </c>
    </row>
    <row r="755" spans="1:7" hidden="1" x14ac:dyDescent="0.25">
      <c r="A755" t="s">
        <v>588</v>
      </c>
      <c r="B755" t="s">
        <v>589</v>
      </c>
      <c r="C755" t="s">
        <v>594</v>
      </c>
      <c r="D755" t="s">
        <v>293</v>
      </c>
      <c r="E755" t="s">
        <v>294</v>
      </c>
      <c r="F755" t="s">
        <v>36</v>
      </c>
      <c r="G755" t="s">
        <v>37</v>
      </c>
    </row>
    <row r="756" spans="1:7" hidden="1" x14ac:dyDescent="0.25">
      <c r="A756" t="s">
        <v>588</v>
      </c>
      <c r="B756" t="s">
        <v>589</v>
      </c>
      <c r="C756" t="s">
        <v>594</v>
      </c>
      <c r="D756" t="s">
        <v>88</v>
      </c>
      <c r="E756" t="s">
        <v>89</v>
      </c>
      <c r="F756" t="s">
        <v>36</v>
      </c>
      <c r="G756" t="s">
        <v>90</v>
      </c>
    </row>
    <row r="757" spans="1:7" hidden="1" x14ac:dyDescent="0.25">
      <c r="A757" t="s">
        <v>588</v>
      </c>
      <c r="B757" t="s">
        <v>589</v>
      </c>
      <c r="C757" t="s">
        <v>594</v>
      </c>
      <c r="D757" t="s">
        <v>166</v>
      </c>
      <c r="E757" t="s">
        <v>167</v>
      </c>
      <c r="F757" t="s">
        <v>36</v>
      </c>
      <c r="G757" t="s">
        <v>168</v>
      </c>
    </row>
    <row r="758" spans="1:7" hidden="1" x14ac:dyDescent="0.25">
      <c r="A758" t="s">
        <v>588</v>
      </c>
      <c r="B758" t="s">
        <v>589</v>
      </c>
      <c r="C758" t="s">
        <v>595</v>
      </c>
      <c r="D758" t="s">
        <v>87</v>
      </c>
      <c r="E758" t="s">
        <v>12</v>
      </c>
      <c r="F758" t="s">
        <v>36</v>
      </c>
      <c r="G758" t="s">
        <v>40</v>
      </c>
    </row>
    <row r="759" spans="1:7" hidden="1" x14ac:dyDescent="0.25">
      <c r="A759" t="s">
        <v>588</v>
      </c>
      <c r="B759" t="s">
        <v>589</v>
      </c>
      <c r="C759" t="s">
        <v>595</v>
      </c>
      <c r="D759" t="s">
        <v>88</v>
      </c>
      <c r="E759" t="s">
        <v>89</v>
      </c>
      <c r="F759" t="s">
        <v>36</v>
      </c>
      <c r="G759" t="s">
        <v>90</v>
      </c>
    </row>
    <row r="760" spans="1:7" hidden="1" x14ac:dyDescent="0.25">
      <c r="A760" t="s">
        <v>588</v>
      </c>
      <c r="B760" t="s">
        <v>589</v>
      </c>
      <c r="C760" t="s">
        <v>595</v>
      </c>
      <c r="D760" t="s">
        <v>170</v>
      </c>
      <c r="E760" t="s">
        <v>171</v>
      </c>
      <c r="F760" t="s">
        <v>36</v>
      </c>
    </row>
    <row r="761" spans="1:7" hidden="1" x14ac:dyDescent="0.25">
      <c r="A761" t="s">
        <v>588</v>
      </c>
      <c r="B761" t="s">
        <v>589</v>
      </c>
      <c r="C761" t="s">
        <v>595</v>
      </c>
      <c r="D761" t="s">
        <v>172</v>
      </c>
      <c r="E761" t="s">
        <v>173</v>
      </c>
      <c r="F761" t="s">
        <v>36</v>
      </c>
    </row>
    <row r="762" spans="1:7" hidden="1" x14ac:dyDescent="0.25">
      <c r="A762" t="s">
        <v>588</v>
      </c>
      <c r="B762" t="s">
        <v>589</v>
      </c>
      <c r="C762" t="s">
        <v>595</v>
      </c>
      <c r="D762" t="s">
        <v>174</v>
      </c>
      <c r="E762" t="s">
        <v>175</v>
      </c>
      <c r="F762" t="s">
        <v>36</v>
      </c>
    </row>
    <row r="763" spans="1:7" x14ac:dyDescent="0.25">
      <c r="A763" t="s">
        <v>588</v>
      </c>
      <c r="B763" t="s">
        <v>589</v>
      </c>
      <c r="C763" t="s">
        <v>596</v>
      </c>
      <c r="D763" t="s">
        <v>34</v>
      </c>
      <c r="E763" t="s">
        <v>12</v>
      </c>
      <c r="F763" t="s">
        <v>36</v>
      </c>
      <c r="G763" t="s">
        <v>37</v>
      </c>
    </row>
    <row r="764" spans="1:7" x14ac:dyDescent="0.25">
      <c r="A764" t="s">
        <v>588</v>
      </c>
      <c r="B764" t="s">
        <v>589</v>
      </c>
      <c r="C764" t="s">
        <v>596</v>
      </c>
      <c r="D764" t="s">
        <v>38</v>
      </c>
      <c r="E764" t="s">
        <v>39</v>
      </c>
      <c r="F764" t="s">
        <v>36</v>
      </c>
      <c r="G764" t="s">
        <v>40</v>
      </c>
    </row>
    <row r="765" spans="1:7" x14ac:dyDescent="0.25">
      <c r="A765" t="s">
        <v>588</v>
      </c>
      <c r="B765" t="s">
        <v>589</v>
      </c>
      <c r="C765" t="s">
        <v>596</v>
      </c>
      <c r="D765" t="s">
        <v>88</v>
      </c>
      <c r="E765" t="s">
        <v>13</v>
      </c>
      <c r="F765" t="s">
        <v>36</v>
      </c>
      <c r="G765" t="s">
        <v>90</v>
      </c>
    </row>
    <row r="766" spans="1:7" x14ac:dyDescent="0.25">
      <c r="A766" t="s">
        <v>588</v>
      </c>
      <c r="B766" t="s">
        <v>589</v>
      </c>
      <c r="C766" t="s">
        <v>596</v>
      </c>
      <c r="D766" t="s">
        <v>34</v>
      </c>
      <c r="E766" t="s">
        <v>14</v>
      </c>
      <c r="F766" t="s">
        <v>36</v>
      </c>
      <c r="G766" t="s">
        <v>177</v>
      </c>
    </row>
    <row r="767" spans="1:7" x14ac:dyDescent="0.25">
      <c r="A767" t="s">
        <v>588</v>
      </c>
      <c r="B767" t="s">
        <v>589</v>
      </c>
      <c r="C767" t="s">
        <v>596</v>
      </c>
      <c r="D767" t="s">
        <v>88</v>
      </c>
      <c r="E767" t="s">
        <v>15</v>
      </c>
      <c r="F767" t="s">
        <v>36</v>
      </c>
      <c r="G767" t="s">
        <v>178</v>
      </c>
    </row>
    <row r="768" spans="1:7" x14ac:dyDescent="0.25">
      <c r="A768" t="s">
        <v>588</v>
      </c>
      <c r="B768" t="s">
        <v>589</v>
      </c>
      <c r="C768" t="s">
        <v>596</v>
      </c>
      <c r="D768" t="s">
        <v>109</v>
      </c>
      <c r="E768" t="s">
        <v>16</v>
      </c>
      <c r="F768" t="s">
        <v>36</v>
      </c>
    </row>
    <row r="769" spans="1:7" x14ac:dyDescent="0.25">
      <c r="A769" t="s">
        <v>588</v>
      </c>
      <c r="B769" t="s">
        <v>589</v>
      </c>
      <c r="C769" t="s">
        <v>596</v>
      </c>
      <c r="D769" t="s">
        <v>115</v>
      </c>
      <c r="E769" t="s">
        <v>17</v>
      </c>
      <c r="F769" t="s">
        <v>36</v>
      </c>
      <c r="G769" t="s">
        <v>180</v>
      </c>
    </row>
    <row r="770" spans="1:7" x14ac:dyDescent="0.25">
      <c r="A770" t="s">
        <v>588</v>
      </c>
      <c r="B770" t="s">
        <v>589</v>
      </c>
      <c r="C770" t="s">
        <v>596</v>
      </c>
      <c r="D770" t="s">
        <v>134</v>
      </c>
      <c r="E770" t="s">
        <v>18</v>
      </c>
      <c r="F770" t="s">
        <v>36</v>
      </c>
      <c r="G770" t="s">
        <v>182</v>
      </c>
    </row>
    <row r="771" spans="1:7" x14ac:dyDescent="0.25">
      <c r="A771" t="s">
        <v>588</v>
      </c>
      <c r="B771" t="s">
        <v>589</v>
      </c>
      <c r="C771" t="s">
        <v>596</v>
      </c>
      <c r="D771" t="s">
        <v>288</v>
      </c>
      <c r="E771" t="s">
        <v>19</v>
      </c>
      <c r="F771" t="s">
        <v>36</v>
      </c>
      <c r="G771" t="s">
        <v>183</v>
      </c>
    </row>
    <row r="772" spans="1:7" x14ac:dyDescent="0.25">
      <c r="A772" t="s">
        <v>588</v>
      </c>
      <c r="B772" t="s">
        <v>589</v>
      </c>
      <c r="C772" t="s">
        <v>596</v>
      </c>
      <c r="D772" t="s">
        <v>289</v>
      </c>
      <c r="E772" t="s">
        <v>20</v>
      </c>
      <c r="F772" t="s">
        <v>36</v>
      </c>
    </row>
    <row r="773" spans="1:7" hidden="1" x14ac:dyDescent="0.25">
      <c r="A773" t="s">
        <v>588</v>
      </c>
      <c r="B773" t="s">
        <v>589</v>
      </c>
      <c r="C773" t="s">
        <v>597</v>
      </c>
      <c r="D773" t="s">
        <v>34</v>
      </c>
      <c r="E773" t="s">
        <v>12</v>
      </c>
      <c r="F773" t="s">
        <v>36</v>
      </c>
      <c r="G773" t="s">
        <v>40</v>
      </c>
    </row>
    <row r="774" spans="1:7" hidden="1" x14ac:dyDescent="0.25">
      <c r="A774" t="s">
        <v>588</v>
      </c>
      <c r="B774" t="s">
        <v>589</v>
      </c>
      <c r="C774" t="s">
        <v>597</v>
      </c>
      <c r="D774" t="s">
        <v>187</v>
      </c>
      <c r="E774" t="s">
        <v>13</v>
      </c>
      <c r="F774" t="s">
        <v>36</v>
      </c>
    </row>
    <row r="775" spans="1:7" hidden="1" x14ac:dyDescent="0.25">
      <c r="A775" t="s">
        <v>588</v>
      </c>
      <c r="B775" t="s">
        <v>589</v>
      </c>
      <c r="C775" t="s">
        <v>597</v>
      </c>
      <c r="D775" t="s">
        <v>188</v>
      </c>
      <c r="E775" t="s">
        <v>189</v>
      </c>
      <c r="F775" t="s">
        <v>36</v>
      </c>
    </row>
    <row r="776" spans="1:7" hidden="1" x14ac:dyDescent="0.25">
      <c r="A776" t="s">
        <v>588</v>
      </c>
      <c r="B776" t="s">
        <v>589</v>
      </c>
      <c r="C776" t="s">
        <v>597</v>
      </c>
      <c r="D776" t="s">
        <v>190</v>
      </c>
      <c r="E776" t="s">
        <v>191</v>
      </c>
      <c r="F776" t="s">
        <v>36</v>
      </c>
    </row>
    <row r="777" spans="1:7" hidden="1" x14ac:dyDescent="0.25">
      <c r="A777" t="s">
        <v>588</v>
      </c>
      <c r="B777" t="s">
        <v>589</v>
      </c>
      <c r="C777" t="s">
        <v>597</v>
      </c>
      <c r="D777" t="s">
        <v>192</v>
      </c>
      <c r="E777" t="s">
        <v>173</v>
      </c>
      <c r="F777" t="s">
        <v>36</v>
      </c>
    </row>
    <row r="778" spans="1:7" hidden="1" x14ac:dyDescent="0.25">
      <c r="A778" t="s">
        <v>588</v>
      </c>
      <c r="B778" t="s">
        <v>589</v>
      </c>
      <c r="C778" t="s">
        <v>597</v>
      </c>
      <c r="D778" t="s">
        <v>193</v>
      </c>
      <c r="E778" t="s">
        <v>194</v>
      </c>
      <c r="F778" t="s">
        <v>36</v>
      </c>
    </row>
    <row r="779" spans="1:7" hidden="1" x14ac:dyDescent="0.25">
      <c r="A779" t="s">
        <v>588</v>
      </c>
      <c r="B779" t="s">
        <v>589</v>
      </c>
      <c r="C779" t="s">
        <v>597</v>
      </c>
      <c r="D779" t="s">
        <v>195</v>
      </c>
      <c r="E779" t="s">
        <v>196</v>
      </c>
      <c r="F779" t="s">
        <v>36</v>
      </c>
    </row>
    <row r="780" spans="1:7" hidden="1" x14ac:dyDescent="0.25">
      <c r="A780" t="s">
        <v>588</v>
      </c>
      <c r="B780" t="s">
        <v>589</v>
      </c>
      <c r="C780" t="s">
        <v>597</v>
      </c>
      <c r="D780" t="s">
        <v>197</v>
      </c>
      <c r="E780" t="s">
        <v>198</v>
      </c>
      <c r="F780" t="s">
        <v>36</v>
      </c>
    </row>
    <row r="781" spans="1:7" hidden="1" x14ac:dyDescent="0.25">
      <c r="A781" t="s">
        <v>598</v>
      </c>
      <c r="B781" t="s">
        <v>599</v>
      </c>
      <c r="C781" t="s">
        <v>600</v>
      </c>
      <c r="D781" t="s">
        <v>34</v>
      </c>
      <c r="E781" t="s">
        <v>35</v>
      </c>
      <c r="F781" t="s">
        <v>36</v>
      </c>
      <c r="G781" t="s">
        <v>37</v>
      </c>
    </row>
    <row r="782" spans="1:7" hidden="1" x14ac:dyDescent="0.25">
      <c r="A782" t="s">
        <v>598</v>
      </c>
      <c r="B782" t="s">
        <v>599</v>
      </c>
      <c r="C782" t="s">
        <v>600</v>
      </c>
      <c r="D782" t="s">
        <v>38</v>
      </c>
      <c r="E782" t="s">
        <v>39</v>
      </c>
      <c r="F782" t="s">
        <v>36</v>
      </c>
      <c r="G782" t="s">
        <v>40</v>
      </c>
    </row>
    <row r="783" spans="1:7" hidden="1" x14ac:dyDescent="0.25">
      <c r="A783" t="s">
        <v>598</v>
      </c>
      <c r="B783" t="s">
        <v>599</v>
      </c>
      <c r="C783" t="s">
        <v>600</v>
      </c>
      <c r="D783" t="s">
        <v>41</v>
      </c>
      <c r="E783" t="s">
        <v>568</v>
      </c>
      <c r="F783" t="s">
        <v>36</v>
      </c>
      <c r="G783" t="s">
        <v>43</v>
      </c>
    </row>
    <row r="784" spans="1:7" hidden="1" x14ac:dyDescent="0.25">
      <c r="A784" t="s">
        <v>598</v>
      </c>
      <c r="B784" t="s">
        <v>599</v>
      </c>
      <c r="C784" t="s">
        <v>600</v>
      </c>
      <c r="D784" t="s">
        <v>44</v>
      </c>
      <c r="E784" t="s">
        <v>391</v>
      </c>
      <c r="F784" t="s">
        <v>36</v>
      </c>
      <c r="G784" t="s">
        <v>46</v>
      </c>
    </row>
    <row r="785" spans="1:7" hidden="1" x14ac:dyDescent="0.25">
      <c r="A785" t="s">
        <v>598</v>
      </c>
      <c r="B785" t="s">
        <v>599</v>
      </c>
      <c r="C785" t="s">
        <v>600</v>
      </c>
      <c r="D785" t="s">
        <v>47</v>
      </c>
      <c r="E785" t="s">
        <v>48</v>
      </c>
      <c r="F785" t="s">
        <v>36</v>
      </c>
      <c r="G785" t="s">
        <v>49</v>
      </c>
    </row>
    <row r="786" spans="1:7" hidden="1" x14ac:dyDescent="0.25">
      <c r="A786" t="s">
        <v>598</v>
      </c>
      <c r="B786" t="s">
        <v>599</v>
      </c>
      <c r="C786" t="s">
        <v>600</v>
      </c>
      <c r="D786" t="s">
        <v>50</v>
      </c>
      <c r="E786" t="s">
        <v>51</v>
      </c>
      <c r="F786" t="s">
        <v>36</v>
      </c>
      <c r="G786" t="s">
        <v>52</v>
      </c>
    </row>
    <row r="787" spans="1:7" hidden="1" x14ac:dyDescent="0.25">
      <c r="A787" t="s">
        <v>598</v>
      </c>
      <c r="B787" t="s">
        <v>599</v>
      </c>
      <c r="C787" t="s">
        <v>600</v>
      </c>
      <c r="D787" t="s">
        <v>53</v>
      </c>
      <c r="E787" t="s">
        <v>541</v>
      </c>
      <c r="F787" t="s">
        <v>36</v>
      </c>
      <c r="G787" t="s">
        <v>272</v>
      </c>
    </row>
    <row r="788" spans="1:7" hidden="1" x14ac:dyDescent="0.25">
      <c r="A788" t="s">
        <v>598</v>
      </c>
      <c r="B788" t="s">
        <v>599</v>
      </c>
      <c r="C788" t="s">
        <v>600</v>
      </c>
      <c r="D788" t="s">
        <v>56</v>
      </c>
      <c r="E788" t="s">
        <v>57</v>
      </c>
      <c r="F788" t="s">
        <v>36</v>
      </c>
      <c r="G788" t="s">
        <v>209</v>
      </c>
    </row>
    <row r="789" spans="1:7" hidden="1" x14ac:dyDescent="0.25">
      <c r="A789" t="s">
        <v>598</v>
      </c>
      <c r="B789" t="s">
        <v>599</v>
      </c>
      <c r="C789" t="s">
        <v>600</v>
      </c>
      <c r="D789" t="s">
        <v>59</v>
      </c>
      <c r="E789" t="s">
        <v>60</v>
      </c>
      <c r="F789" t="s">
        <v>36</v>
      </c>
      <c r="G789" t="s">
        <v>61</v>
      </c>
    </row>
    <row r="790" spans="1:7" hidden="1" x14ac:dyDescent="0.25">
      <c r="A790" t="s">
        <v>598</v>
      </c>
      <c r="B790" t="s">
        <v>599</v>
      </c>
      <c r="C790" t="s">
        <v>600</v>
      </c>
      <c r="D790" t="s">
        <v>62</v>
      </c>
      <c r="E790" t="s">
        <v>542</v>
      </c>
      <c r="F790" t="s">
        <v>36</v>
      </c>
      <c r="G790" t="s">
        <v>64</v>
      </c>
    </row>
    <row r="791" spans="1:7" hidden="1" x14ac:dyDescent="0.25">
      <c r="A791" t="s">
        <v>598</v>
      </c>
      <c r="B791" t="s">
        <v>599</v>
      </c>
      <c r="C791" t="s">
        <v>600</v>
      </c>
      <c r="D791" t="s">
        <v>65</v>
      </c>
      <c r="E791" t="s">
        <v>569</v>
      </c>
      <c r="F791" t="s">
        <v>36</v>
      </c>
      <c r="G791" t="s">
        <v>67</v>
      </c>
    </row>
    <row r="792" spans="1:7" hidden="1" x14ac:dyDescent="0.25">
      <c r="A792" t="s">
        <v>598</v>
      </c>
      <c r="B792" t="s">
        <v>599</v>
      </c>
      <c r="C792" t="s">
        <v>600</v>
      </c>
      <c r="D792" t="s">
        <v>311</v>
      </c>
      <c r="E792" t="s">
        <v>310</v>
      </c>
      <c r="F792" t="s">
        <v>36</v>
      </c>
      <c r="G792" t="s">
        <v>70</v>
      </c>
    </row>
    <row r="793" spans="1:7" hidden="1" x14ac:dyDescent="0.25">
      <c r="A793" t="s">
        <v>598</v>
      </c>
      <c r="B793" t="s">
        <v>599</v>
      </c>
      <c r="C793" t="s">
        <v>600</v>
      </c>
      <c r="D793" t="s">
        <v>71</v>
      </c>
      <c r="E793" t="s">
        <v>312</v>
      </c>
      <c r="F793" t="s">
        <v>36</v>
      </c>
      <c r="G793" t="s">
        <v>73</v>
      </c>
    </row>
    <row r="794" spans="1:7" hidden="1" x14ac:dyDescent="0.25">
      <c r="A794" t="s">
        <v>598</v>
      </c>
      <c r="B794" t="s">
        <v>599</v>
      </c>
      <c r="C794" t="s">
        <v>600</v>
      </c>
      <c r="D794" t="s">
        <v>74</v>
      </c>
      <c r="E794" t="s">
        <v>313</v>
      </c>
      <c r="F794" t="s">
        <v>36</v>
      </c>
      <c r="G794" t="s">
        <v>216</v>
      </c>
    </row>
    <row r="795" spans="1:7" hidden="1" x14ac:dyDescent="0.25">
      <c r="A795" t="s">
        <v>598</v>
      </c>
      <c r="B795" t="s">
        <v>599</v>
      </c>
      <c r="C795" t="s">
        <v>600</v>
      </c>
      <c r="D795" t="s">
        <v>77</v>
      </c>
      <c r="E795" t="s">
        <v>601</v>
      </c>
      <c r="F795" t="s">
        <v>36</v>
      </c>
      <c r="G795" t="s">
        <v>219</v>
      </c>
    </row>
    <row r="796" spans="1:7" hidden="1" x14ac:dyDescent="0.25">
      <c r="A796" t="s">
        <v>598</v>
      </c>
      <c r="B796" t="s">
        <v>599</v>
      </c>
      <c r="C796" t="s">
        <v>600</v>
      </c>
      <c r="D796" t="s">
        <v>81</v>
      </c>
      <c r="E796" t="s">
        <v>82</v>
      </c>
      <c r="F796" t="s">
        <v>36</v>
      </c>
      <c r="G796" t="s">
        <v>221</v>
      </c>
    </row>
    <row r="797" spans="1:7" hidden="1" x14ac:dyDescent="0.25">
      <c r="A797" t="s">
        <v>598</v>
      </c>
      <c r="B797" t="s">
        <v>599</v>
      </c>
      <c r="C797" t="s">
        <v>600</v>
      </c>
      <c r="D797" t="s">
        <v>399</v>
      </c>
      <c r="E797" t="s">
        <v>546</v>
      </c>
      <c r="F797" t="s">
        <v>36</v>
      </c>
      <c r="G797" t="s">
        <v>547</v>
      </c>
    </row>
    <row r="798" spans="1:7" hidden="1" x14ac:dyDescent="0.25">
      <c r="A798" t="s">
        <v>598</v>
      </c>
      <c r="B798" t="s">
        <v>599</v>
      </c>
      <c r="C798" t="s">
        <v>600</v>
      </c>
      <c r="E798" t="s">
        <v>84</v>
      </c>
      <c r="F798" t="s">
        <v>79</v>
      </c>
      <c r="G798" t="s">
        <v>85</v>
      </c>
    </row>
    <row r="799" spans="1:7" hidden="1" x14ac:dyDescent="0.25">
      <c r="A799" t="s">
        <v>598</v>
      </c>
      <c r="B799" t="s">
        <v>599</v>
      </c>
      <c r="C799" t="s">
        <v>602</v>
      </c>
      <c r="D799" t="s">
        <v>87</v>
      </c>
      <c r="E799" t="s">
        <v>35</v>
      </c>
      <c r="F799" t="s">
        <v>36</v>
      </c>
      <c r="G799" t="s">
        <v>37</v>
      </c>
    </row>
    <row r="800" spans="1:7" hidden="1" x14ac:dyDescent="0.25">
      <c r="A800" t="s">
        <v>598</v>
      </c>
      <c r="B800" t="s">
        <v>599</v>
      </c>
      <c r="C800" t="s">
        <v>602</v>
      </c>
      <c r="D800" t="s">
        <v>38</v>
      </c>
      <c r="E800" t="s">
        <v>39</v>
      </c>
      <c r="F800" t="s">
        <v>36</v>
      </c>
      <c r="G800" t="s">
        <v>40</v>
      </c>
    </row>
    <row r="801" spans="1:7" hidden="1" x14ac:dyDescent="0.25">
      <c r="A801" t="s">
        <v>598</v>
      </c>
      <c r="B801" t="s">
        <v>599</v>
      </c>
      <c r="C801" t="s">
        <v>602</v>
      </c>
      <c r="D801" t="s">
        <v>88</v>
      </c>
      <c r="E801" t="s">
        <v>603</v>
      </c>
      <c r="F801" t="s">
        <v>36</v>
      </c>
      <c r="G801" t="s">
        <v>90</v>
      </c>
    </row>
    <row r="802" spans="1:7" hidden="1" x14ac:dyDescent="0.25">
      <c r="A802" t="s">
        <v>598</v>
      </c>
      <c r="B802" t="s">
        <v>599</v>
      </c>
      <c r="C802" t="s">
        <v>602</v>
      </c>
      <c r="D802" t="s">
        <v>91</v>
      </c>
      <c r="E802" t="s">
        <v>604</v>
      </c>
      <c r="F802" t="s">
        <v>36</v>
      </c>
      <c r="G802" t="s">
        <v>93</v>
      </c>
    </row>
    <row r="803" spans="1:7" hidden="1" x14ac:dyDescent="0.25">
      <c r="A803" t="s">
        <v>598</v>
      </c>
      <c r="B803" t="s">
        <v>599</v>
      </c>
      <c r="C803" t="s">
        <v>602</v>
      </c>
      <c r="D803" t="s">
        <v>94</v>
      </c>
      <c r="E803" t="s">
        <v>95</v>
      </c>
      <c r="F803" t="s">
        <v>36</v>
      </c>
      <c r="G803" t="s">
        <v>96</v>
      </c>
    </row>
    <row r="804" spans="1:7" hidden="1" x14ac:dyDescent="0.25">
      <c r="A804" t="s">
        <v>598</v>
      </c>
      <c r="B804" t="s">
        <v>599</v>
      </c>
      <c r="C804" t="s">
        <v>602</v>
      </c>
      <c r="D804" t="s">
        <v>97</v>
      </c>
      <c r="E804" t="s">
        <v>605</v>
      </c>
      <c r="F804" t="s">
        <v>36</v>
      </c>
      <c r="G804" t="s">
        <v>99</v>
      </c>
    </row>
    <row r="805" spans="1:7" hidden="1" x14ac:dyDescent="0.25">
      <c r="A805" t="s">
        <v>598</v>
      </c>
      <c r="B805" t="s">
        <v>599</v>
      </c>
      <c r="C805" t="s">
        <v>602</v>
      </c>
      <c r="D805" t="s">
        <v>100</v>
      </c>
      <c r="E805" t="s">
        <v>606</v>
      </c>
      <c r="F805" t="s">
        <v>36</v>
      </c>
      <c r="G805" t="s">
        <v>64</v>
      </c>
    </row>
    <row r="806" spans="1:7" hidden="1" x14ac:dyDescent="0.25">
      <c r="A806" t="s">
        <v>598</v>
      </c>
      <c r="B806" t="s">
        <v>599</v>
      </c>
      <c r="C806" t="s">
        <v>602</v>
      </c>
      <c r="D806" t="s">
        <v>102</v>
      </c>
      <c r="E806" t="s">
        <v>103</v>
      </c>
      <c r="F806" t="s">
        <v>36</v>
      </c>
      <c r="G806" t="s">
        <v>104</v>
      </c>
    </row>
    <row r="807" spans="1:7" hidden="1" x14ac:dyDescent="0.25">
      <c r="A807" t="s">
        <v>598</v>
      </c>
      <c r="B807" t="s">
        <v>599</v>
      </c>
      <c r="C807" t="s">
        <v>602</v>
      </c>
      <c r="D807" t="s">
        <v>105</v>
      </c>
      <c r="E807" t="s">
        <v>106</v>
      </c>
      <c r="F807" t="s">
        <v>36</v>
      </c>
      <c r="G807" t="s">
        <v>108</v>
      </c>
    </row>
    <row r="808" spans="1:7" hidden="1" x14ac:dyDescent="0.25">
      <c r="A808" t="s">
        <v>598</v>
      </c>
      <c r="B808" t="s">
        <v>599</v>
      </c>
      <c r="C808" t="s">
        <v>602</v>
      </c>
      <c r="D808" t="s">
        <v>109</v>
      </c>
      <c r="E808" t="s">
        <v>607</v>
      </c>
      <c r="F808" t="s">
        <v>36</v>
      </c>
      <c r="G808" t="s">
        <v>608</v>
      </c>
    </row>
    <row r="809" spans="1:7" hidden="1" x14ac:dyDescent="0.25">
      <c r="A809" t="s">
        <v>598</v>
      </c>
      <c r="B809" t="s">
        <v>599</v>
      </c>
      <c r="C809" t="s">
        <v>602</v>
      </c>
      <c r="D809" t="s">
        <v>112</v>
      </c>
      <c r="E809" t="s">
        <v>113</v>
      </c>
      <c r="F809" t="s">
        <v>36</v>
      </c>
      <c r="G809" t="s">
        <v>114</v>
      </c>
    </row>
    <row r="810" spans="1:7" hidden="1" x14ac:dyDescent="0.25">
      <c r="A810" t="s">
        <v>598</v>
      </c>
      <c r="B810" t="s">
        <v>599</v>
      </c>
      <c r="C810" t="s">
        <v>602</v>
      </c>
      <c r="D810" t="s">
        <v>115</v>
      </c>
      <c r="E810" t="s">
        <v>116</v>
      </c>
      <c r="F810" t="s">
        <v>36</v>
      </c>
      <c r="G810" t="s">
        <v>117</v>
      </c>
    </row>
    <row r="811" spans="1:7" hidden="1" x14ac:dyDescent="0.25">
      <c r="A811" t="s">
        <v>598</v>
      </c>
      <c r="B811" t="s">
        <v>599</v>
      </c>
      <c r="C811" t="s">
        <v>602</v>
      </c>
      <c r="D811" t="s">
        <v>118</v>
      </c>
      <c r="E811" t="s">
        <v>119</v>
      </c>
      <c r="F811" t="s">
        <v>36</v>
      </c>
      <c r="G811" t="s">
        <v>120</v>
      </c>
    </row>
    <row r="812" spans="1:7" hidden="1" x14ac:dyDescent="0.25">
      <c r="A812" t="s">
        <v>598</v>
      </c>
      <c r="B812" t="s">
        <v>599</v>
      </c>
      <c r="C812" t="s">
        <v>602</v>
      </c>
      <c r="D812" t="s">
        <v>121</v>
      </c>
      <c r="E812" t="s">
        <v>122</v>
      </c>
      <c r="F812" t="s">
        <v>36</v>
      </c>
      <c r="G812" t="s">
        <v>123</v>
      </c>
    </row>
    <row r="813" spans="1:7" hidden="1" x14ac:dyDescent="0.25">
      <c r="A813" t="s">
        <v>598</v>
      </c>
      <c r="B813" t="s">
        <v>599</v>
      </c>
      <c r="C813" t="s">
        <v>602</v>
      </c>
      <c r="D813" t="s">
        <v>124</v>
      </c>
      <c r="E813" t="s">
        <v>327</v>
      </c>
      <c r="F813" t="s">
        <v>36</v>
      </c>
      <c r="G813" t="s">
        <v>125</v>
      </c>
    </row>
    <row r="814" spans="1:7" hidden="1" x14ac:dyDescent="0.25">
      <c r="A814" t="s">
        <v>598</v>
      </c>
      <c r="B814" t="s">
        <v>599</v>
      </c>
      <c r="C814" t="s">
        <v>602</v>
      </c>
      <c r="D814" t="s">
        <v>126</v>
      </c>
      <c r="E814" t="s">
        <v>127</v>
      </c>
      <c r="F814" t="s">
        <v>36</v>
      </c>
      <c r="G814" t="s">
        <v>128</v>
      </c>
    </row>
    <row r="815" spans="1:7" hidden="1" x14ac:dyDescent="0.25">
      <c r="A815" t="s">
        <v>598</v>
      </c>
      <c r="B815" t="s">
        <v>599</v>
      </c>
      <c r="C815" t="s">
        <v>602</v>
      </c>
      <c r="D815" t="s">
        <v>129</v>
      </c>
      <c r="E815" t="s">
        <v>552</v>
      </c>
      <c r="F815" t="s">
        <v>36</v>
      </c>
      <c r="G815" t="s">
        <v>272</v>
      </c>
    </row>
    <row r="816" spans="1:7" hidden="1" x14ac:dyDescent="0.25">
      <c r="A816" t="s">
        <v>598</v>
      </c>
      <c r="B816" t="s">
        <v>599</v>
      </c>
      <c r="C816" t="s">
        <v>602</v>
      </c>
      <c r="D816" t="s">
        <v>131</v>
      </c>
      <c r="E816" t="s">
        <v>338</v>
      </c>
      <c r="F816" t="s">
        <v>36</v>
      </c>
      <c r="G816" t="s">
        <v>443</v>
      </c>
    </row>
    <row r="817" spans="1:7" hidden="1" x14ac:dyDescent="0.25">
      <c r="A817" t="s">
        <v>598</v>
      </c>
      <c r="B817" t="s">
        <v>599</v>
      </c>
      <c r="C817" t="s">
        <v>602</v>
      </c>
      <c r="D817" t="s">
        <v>134</v>
      </c>
      <c r="E817" t="s">
        <v>239</v>
      </c>
      <c r="F817" t="s">
        <v>36</v>
      </c>
      <c r="G817" t="s">
        <v>240</v>
      </c>
    </row>
    <row r="818" spans="1:7" hidden="1" x14ac:dyDescent="0.25">
      <c r="A818" t="s">
        <v>598</v>
      </c>
      <c r="B818" t="s">
        <v>599</v>
      </c>
      <c r="C818" t="s">
        <v>602</v>
      </c>
      <c r="D818" t="s">
        <v>136</v>
      </c>
      <c r="E818" t="s">
        <v>609</v>
      </c>
      <c r="F818" t="s">
        <v>36</v>
      </c>
      <c r="G818" t="s">
        <v>243</v>
      </c>
    </row>
    <row r="819" spans="1:7" hidden="1" x14ac:dyDescent="0.25">
      <c r="A819" t="s">
        <v>598</v>
      </c>
      <c r="B819" t="s">
        <v>599</v>
      </c>
      <c r="C819" t="s">
        <v>602</v>
      </c>
      <c r="D819" t="s">
        <v>139</v>
      </c>
      <c r="E819" t="s">
        <v>610</v>
      </c>
      <c r="F819" t="s">
        <v>36</v>
      </c>
      <c r="G819" t="s">
        <v>246</v>
      </c>
    </row>
    <row r="820" spans="1:7" hidden="1" x14ac:dyDescent="0.25">
      <c r="A820" t="s">
        <v>598</v>
      </c>
      <c r="B820" t="s">
        <v>599</v>
      </c>
      <c r="C820" t="s">
        <v>602</v>
      </c>
      <c r="D820" t="s">
        <v>337</v>
      </c>
      <c r="E820" t="s">
        <v>611</v>
      </c>
      <c r="F820" t="s">
        <v>36</v>
      </c>
      <c r="G820" t="s">
        <v>612</v>
      </c>
    </row>
    <row r="821" spans="1:7" hidden="1" x14ac:dyDescent="0.25">
      <c r="A821" t="s">
        <v>598</v>
      </c>
      <c r="B821" t="s">
        <v>599</v>
      </c>
      <c r="C821" t="s">
        <v>602</v>
      </c>
      <c r="D821" t="s">
        <v>341</v>
      </c>
      <c r="E821" t="s">
        <v>613</v>
      </c>
      <c r="F821" t="s">
        <v>36</v>
      </c>
      <c r="G821" t="s">
        <v>435</v>
      </c>
    </row>
    <row r="822" spans="1:7" hidden="1" x14ac:dyDescent="0.25">
      <c r="A822" t="s">
        <v>598</v>
      </c>
      <c r="B822" t="s">
        <v>599</v>
      </c>
      <c r="C822" t="s">
        <v>602</v>
      </c>
      <c r="D822" t="s">
        <v>344</v>
      </c>
      <c r="E822" t="s">
        <v>614</v>
      </c>
      <c r="F822" t="s">
        <v>107</v>
      </c>
      <c r="G822" t="s">
        <v>615</v>
      </c>
    </row>
    <row r="823" spans="1:7" hidden="1" x14ac:dyDescent="0.25">
      <c r="A823" t="s">
        <v>598</v>
      </c>
      <c r="B823" t="s">
        <v>599</v>
      </c>
      <c r="C823" t="s">
        <v>602</v>
      </c>
      <c r="D823" t="s">
        <v>529</v>
      </c>
      <c r="E823" t="s">
        <v>616</v>
      </c>
      <c r="F823" t="s">
        <v>36</v>
      </c>
      <c r="G823" t="s">
        <v>617</v>
      </c>
    </row>
    <row r="824" spans="1:7" hidden="1" x14ac:dyDescent="0.25">
      <c r="A824" t="s">
        <v>598</v>
      </c>
      <c r="B824" t="s">
        <v>599</v>
      </c>
      <c r="C824" t="s">
        <v>602</v>
      </c>
      <c r="E824" t="s">
        <v>84</v>
      </c>
      <c r="F824" t="s">
        <v>79</v>
      </c>
      <c r="G824" t="s">
        <v>85</v>
      </c>
    </row>
    <row r="825" spans="1:7" hidden="1" x14ac:dyDescent="0.25">
      <c r="A825" t="s">
        <v>598</v>
      </c>
      <c r="B825" t="s">
        <v>599</v>
      </c>
      <c r="C825" t="s">
        <v>618</v>
      </c>
      <c r="D825" t="s">
        <v>87</v>
      </c>
      <c r="E825" t="s">
        <v>35</v>
      </c>
      <c r="F825" t="s">
        <v>36</v>
      </c>
      <c r="G825" t="s">
        <v>37</v>
      </c>
    </row>
    <row r="826" spans="1:7" hidden="1" x14ac:dyDescent="0.25">
      <c r="A826" t="s">
        <v>598</v>
      </c>
      <c r="B826" t="s">
        <v>599</v>
      </c>
      <c r="C826" t="s">
        <v>618</v>
      </c>
      <c r="D826" t="s">
        <v>38</v>
      </c>
      <c r="E826" t="s">
        <v>39</v>
      </c>
      <c r="F826" t="s">
        <v>36</v>
      </c>
      <c r="G826" t="s">
        <v>40</v>
      </c>
    </row>
    <row r="827" spans="1:7" hidden="1" x14ac:dyDescent="0.25">
      <c r="A827" t="s">
        <v>598</v>
      </c>
      <c r="B827" t="s">
        <v>599</v>
      </c>
      <c r="C827" t="s">
        <v>618</v>
      </c>
      <c r="D827" t="s">
        <v>88</v>
      </c>
      <c r="E827" t="s">
        <v>89</v>
      </c>
      <c r="F827" t="s">
        <v>36</v>
      </c>
      <c r="G827" t="s">
        <v>90</v>
      </c>
    </row>
    <row r="828" spans="1:7" hidden="1" x14ac:dyDescent="0.25">
      <c r="A828" t="s">
        <v>598</v>
      </c>
      <c r="B828" t="s">
        <v>599</v>
      </c>
      <c r="C828" t="s">
        <v>618</v>
      </c>
      <c r="D828" t="s">
        <v>143</v>
      </c>
      <c r="E828" t="s">
        <v>144</v>
      </c>
      <c r="F828" t="s">
        <v>36</v>
      </c>
      <c r="G828" t="s">
        <v>145</v>
      </c>
    </row>
    <row r="829" spans="1:7" hidden="1" x14ac:dyDescent="0.25">
      <c r="A829" t="s">
        <v>598</v>
      </c>
      <c r="B829" t="s">
        <v>599</v>
      </c>
      <c r="C829" t="s">
        <v>618</v>
      </c>
      <c r="D829" t="s">
        <v>146</v>
      </c>
      <c r="E829" t="s">
        <v>147</v>
      </c>
      <c r="F829" t="s">
        <v>36</v>
      </c>
      <c r="G829" t="s">
        <v>148</v>
      </c>
    </row>
    <row r="830" spans="1:7" hidden="1" x14ac:dyDescent="0.25">
      <c r="A830" t="s">
        <v>598</v>
      </c>
      <c r="B830" t="s">
        <v>599</v>
      </c>
      <c r="C830" t="s">
        <v>618</v>
      </c>
      <c r="D830" t="s">
        <v>149</v>
      </c>
      <c r="E830" t="s">
        <v>150</v>
      </c>
      <c r="F830" t="s">
        <v>36</v>
      </c>
      <c r="G830" t="s">
        <v>151</v>
      </c>
    </row>
    <row r="831" spans="1:7" hidden="1" x14ac:dyDescent="0.25">
      <c r="A831" t="s">
        <v>598</v>
      </c>
      <c r="B831" t="s">
        <v>599</v>
      </c>
      <c r="C831" t="s">
        <v>618</v>
      </c>
      <c r="D831" t="s">
        <v>352</v>
      </c>
      <c r="E831" t="s">
        <v>153</v>
      </c>
      <c r="F831" t="s">
        <v>36</v>
      </c>
      <c r="G831" t="s">
        <v>252</v>
      </c>
    </row>
    <row r="832" spans="1:7" hidden="1" x14ac:dyDescent="0.25">
      <c r="A832" t="s">
        <v>598</v>
      </c>
      <c r="B832" t="s">
        <v>599</v>
      </c>
      <c r="C832" t="s">
        <v>618</v>
      </c>
      <c r="D832" t="s">
        <v>155</v>
      </c>
      <c r="E832" t="s">
        <v>156</v>
      </c>
      <c r="F832" t="s">
        <v>36</v>
      </c>
      <c r="G832" t="s">
        <v>157</v>
      </c>
    </row>
    <row r="833" spans="1:7" hidden="1" x14ac:dyDescent="0.25">
      <c r="A833" t="s">
        <v>598</v>
      </c>
      <c r="B833" t="s">
        <v>599</v>
      </c>
      <c r="C833" t="s">
        <v>618</v>
      </c>
      <c r="D833" t="s">
        <v>158</v>
      </c>
      <c r="E833" t="s">
        <v>159</v>
      </c>
      <c r="F833" t="s">
        <v>36</v>
      </c>
      <c r="G833" t="s">
        <v>160</v>
      </c>
    </row>
    <row r="834" spans="1:7" hidden="1" x14ac:dyDescent="0.25">
      <c r="A834" t="s">
        <v>598</v>
      </c>
      <c r="B834" t="s">
        <v>599</v>
      </c>
      <c r="C834" t="s">
        <v>618</v>
      </c>
      <c r="D834" t="s">
        <v>161</v>
      </c>
      <c r="E834" t="s">
        <v>162</v>
      </c>
      <c r="F834" t="s">
        <v>36</v>
      </c>
      <c r="G834" t="s">
        <v>163</v>
      </c>
    </row>
    <row r="835" spans="1:7" hidden="1" x14ac:dyDescent="0.25">
      <c r="A835" t="s">
        <v>598</v>
      </c>
      <c r="B835" t="s">
        <v>599</v>
      </c>
      <c r="C835" t="s">
        <v>619</v>
      </c>
      <c r="D835" t="s">
        <v>293</v>
      </c>
      <c r="E835" t="s">
        <v>35</v>
      </c>
      <c r="F835" t="s">
        <v>36</v>
      </c>
      <c r="G835" t="s">
        <v>37</v>
      </c>
    </row>
    <row r="836" spans="1:7" hidden="1" x14ac:dyDescent="0.25">
      <c r="A836" t="s">
        <v>598</v>
      </c>
      <c r="B836" t="s">
        <v>599</v>
      </c>
      <c r="C836" t="s">
        <v>619</v>
      </c>
      <c r="D836" t="s">
        <v>88</v>
      </c>
      <c r="E836" t="s">
        <v>89</v>
      </c>
      <c r="F836" t="s">
        <v>36</v>
      </c>
      <c r="G836" t="s">
        <v>90</v>
      </c>
    </row>
    <row r="837" spans="1:7" hidden="1" x14ac:dyDescent="0.25">
      <c r="A837" t="s">
        <v>598</v>
      </c>
      <c r="B837" t="s">
        <v>599</v>
      </c>
      <c r="C837" t="s">
        <v>619</v>
      </c>
      <c r="D837" t="s">
        <v>166</v>
      </c>
      <c r="E837" t="s">
        <v>167</v>
      </c>
      <c r="F837" t="s">
        <v>36</v>
      </c>
      <c r="G837" t="s">
        <v>168</v>
      </c>
    </row>
    <row r="838" spans="1:7" hidden="1" x14ac:dyDescent="0.25">
      <c r="A838" t="s">
        <v>598</v>
      </c>
      <c r="B838" t="s">
        <v>599</v>
      </c>
      <c r="C838" t="s">
        <v>620</v>
      </c>
      <c r="D838" t="s">
        <v>87</v>
      </c>
      <c r="E838" t="s">
        <v>35</v>
      </c>
      <c r="F838" t="s">
        <v>36</v>
      </c>
    </row>
    <row r="839" spans="1:7" hidden="1" x14ac:dyDescent="0.25">
      <c r="A839" t="s">
        <v>598</v>
      </c>
      <c r="B839" t="s">
        <v>599</v>
      </c>
      <c r="C839" t="s">
        <v>620</v>
      </c>
      <c r="D839" t="s">
        <v>88</v>
      </c>
      <c r="E839" t="s">
        <v>89</v>
      </c>
      <c r="F839" t="s">
        <v>36</v>
      </c>
    </row>
    <row r="840" spans="1:7" hidden="1" x14ac:dyDescent="0.25">
      <c r="A840" t="s">
        <v>598</v>
      </c>
      <c r="B840" t="s">
        <v>599</v>
      </c>
      <c r="C840" t="s">
        <v>620</v>
      </c>
      <c r="D840" t="s">
        <v>170</v>
      </c>
      <c r="E840" t="s">
        <v>171</v>
      </c>
      <c r="F840" t="s">
        <v>36</v>
      </c>
    </row>
    <row r="841" spans="1:7" hidden="1" x14ac:dyDescent="0.25">
      <c r="A841" t="s">
        <v>598</v>
      </c>
      <c r="B841" t="s">
        <v>599</v>
      </c>
      <c r="C841" t="s">
        <v>620</v>
      </c>
      <c r="D841" t="s">
        <v>172</v>
      </c>
      <c r="E841" t="s">
        <v>173</v>
      </c>
      <c r="F841" t="s">
        <v>36</v>
      </c>
    </row>
    <row r="842" spans="1:7" hidden="1" x14ac:dyDescent="0.25">
      <c r="A842" t="s">
        <v>598</v>
      </c>
      <c r="B842" t="s">
        <v>599</v>
      </c>
      <c r="C842" t="s">
        <v>620</v>
      </c>
      <c r="D842" t="s">
        <v>174</v>
      </c>
      <c r="E842" t="s">
        <v>175</v>
      </c>
      <c r="F842" t="s">
        <v>36</v>
      </c>
    </row>
    <row r="843" spans="1:7" x14ac:dyDescent="0.25">
      <c r="A843" t="s">
        <v>598</v>
      </c>
      <c r="B843" t="s">
        <v>599</v>
      </c>
      <c r="C843" t="s">
        <v>621</v>
      </c>
      <c r="D843" t="s">
        <v>34</v>
      </c>
      <c r="E843" t="s">
        <v>39</v>
      </c>
      <c r="F843" t="s">
        <v>36</v>
      </c>
      <c r="G843" t="s">
        <v>37</v>
      </c>
    </row>
    <row r="844" spans="1:7" x14ac:dyDescent="0.25">
      <c r="A844" t="s">
        <v>598</v>
      </c>
      <c r="B844" t="s">
        <v>599</v>
      </c>
      <c r="C844" t="s">
        <v>621</v>
      </c>
      <c r="D844" t="s">
        <v>38</v>
      </c>
      <c r="E844" t="s">
        <v>39</v>
      </c>
      <c r="F844" t="s">
        <v>36</v>
      </c>
      <c r="G844" t="s">
        <v>40</v>
      </c>
    </row>
    <row r="845" spans="1:7" x14ac:dyDescent="0.25">
      <c r="A845" t="s">
        <v>598</v>
      </c>
      <c r="B845" t="s">
        <v>599</v>
      </c>
      <c r="C845" t="s">
        <v>621</v>
      </c>
      <c r="D845" t="s">
        <v>88</v>
      </c>
      <c r="E845" t="s">
        <v>89</v>
      </c>
      <c r="F845" t="s">
        <v>36</v>
      </c>
      <c r="G845" t="s">
        <v>90</v>
      </c>
    </row>
    <row r="846" spans="1:7" x14ac:dyDescent="0.25">
      <c r="A846" t="s">
        <v>598</v>
      </c>
      <c r="B846" t="s">
        <v>599</v>
      </c>
      <c r="C846" t="s">
        <v>621</v>
      </c>
      <c r="D846" t="s">
        <v>34</v>
      </c>
      <c r="E846" t="s">
        <v>265</v>
      </c>
      <c r="F846" t="s">
        <v>36</v>
      </c>
      <c r="G846" t="s">
        <v>177</v>
      </c>
    </row>
    <row r="847" spans="1:7" x14ac:dyDescent="0.25">
      <c r="A847" t="s">
        <v>598</v>
      </c>
      <c r="B847" t="s">
        <v>599</v>
      </c>
      <c r="C847" t="s">
        <v>621</v>
      </c>
      <c r="D847" t="s">
        <v>88</v>
      </c>
      <c r="E847" t="s">
        <v>15</v>
      </c>
      <c r="F847" t="s">
        <v>36</v>
      </c>
      <c r="G847" t="s">
        <v>178</v>
      </c>
    </row>
    <row r="848" spans="1:7" x14ac:dyDescent="0.25">
      <c r="A848" t="s">
        <v>598</v>
      </c>
      <c r="B848" t="s">
        <v>599</v>
      </c>
      <c r="C848" t="s">
        <v>621</v>
      </c>
      <c r="D848" t="s">
        <v>109</v>
      </c>
      <c r="E848" t="s">
        <v>57</v>
      </c>
      <c r="F848" t="s">
        <v>36</v>
      </c>
    </row>
    <row r="849" spans="1:7" x14ac:dyDescent="0.25">
      <c r="A849" t="s">
        <v>598</v>
      </c>
      <c r="B849" t="s">
        <v>599</v>
      </c>
      <c r="C849" t="s">
        <v>621</v>
      </c>
      <c r="D849" t="s">
        <v>115</v>
      </c>
      <c r="E849" t="s">
        <v>16</v>
      </c>
      <c r="F849" t="s">
        <v>36</v>
      </c>
    </row>
    <row r="850" spans="1:7" x14ac:dyDescent="0.25">
      <c r="A850" t="s">
        <v>598</v>
      </c>
      <c r="B850" t="s">
        <v>599</v>
      </c>
      <c r="C850" t="s">
        <v>621</v>
      </c>
      <c r="D850" t="s">
        <v>288</v>
      </c>
      <c r="E850" t="s">
        <v>179</v>
      </c>
      <c r="F850" t="s">
        <v>36</v>
      </c>
      <c r="G850" t="s">
        <v>180</v>
      </c>
    </row>
    <row r="851" spans="1:7" x14ac:dyDescent="0.25">
      <c r="A851" t="s">
        <v>598</v>
      </c>
      <c r="B851" t="s">
        <v>599</v>
      </c>
      <c r="C851" t="s">
        <v>621</v>
      </c>
      <c r="D851" t="s">
        <v>289</v>
      </c>
      <c r="E851" t="s">
        <v>266</v>
      </c>
      <c r="F851" t="s">
        <v>36</v>
      </c>
    </row>
    <row r="852" spans="1:7" x14ac:dyDescent="0.25">
      <c r="A852" t="s">
        <v>598</v>
      </c>
      <c r="B852" t="s">
        <v>599</v>
      </c>
      <c r="C852" t="s">
        <v>621</v>
      </c>
      <c r="D852" t="s">
        <v>124</v>
      </c>
      <c r="E852" t="s">
        <v>18</v>
      </c>
      <c r="F852" t="s">
        <v>36</v>
      </c>
      <c r="G852" t="s">
        <v>182</v>
      </c>
    </row>
    <row r="853" spans="1:7" x14ac:dyDescent="0.25">
      <c r="A853" t="s">
        <v>598</v>
      </c>
      <c r="B853" t="s">
        <v>599</v>
      </c>
      <c r="C853" t="s">
        <v>621</v>
      </c>
      <c r="D853" t="s">
        <v>126</v>
      </c>
      <c r="E853" t="s">
        <v>127</v>
      </c>
      <c r="F853" t="s">
        <v>36</v>
      </c>
      <c r="G853" t="s">
        <v>183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Feuil4</vt:lpstr>
      <vt:lpstr>ACCUEIL</vt:lpstr>
      <vt:lpstr>MAPPING</vt:lpstr>
      <vt:lpstr>PARAM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EKEWOU Edem (Credit Agricole S.A.)</dc:creator>
  <cp:lastModifiedBy>EKEWOU Edem (Credit Agricole S.A.)</cp:lastModifiedBy>
  <dcterms:created xsi:type="dcterms:W3CDTF">2015-06-05T18:17:20Z</dcterms:created>
  <dcterms:modified xsi:type="dcterms:W3CDTF">2026-06-09T11:15:33Z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4959cb2-1791-4379-ac27-73c7defdb1e7_Enabled">
    <vt:lpwstr>true</vt:lpwstr>
  </property>
  <property fmtid="{D5CDD505-2E9C-101B-9397-08002B2CF9AE}" pid="3" name="MSIP_Label_74959cb2-1791-4379-ac27-73c7defdb1e7_SetDate">
    <vt:lpwstr>2026-06-03T12:30:58Z</vt:lpwstr>
  </property>
  <property fmtid="{D5CDD505-2E9C-101B-9397-08002B2CF9AE}" pid="4" name="MSIP_Label_74959cb2-1791-4379-ac27-73c7defdb1e7_Method">
    <vt:lpwstr>Standard</vt:lpwstr>
  </property>
  <property fmtid="{D5CDD505-2E9C-101B-9397-08002B2CF9AE}" pid="5" name="MSIP_Label_74959cb2-1791-4379-ac27-73c7defdb1e7_Name">
    <vt:lpwstr>C2-Usage Interne</vt:lpwstr>
  </property>
  <property fmtid="{D5CDD505-2E9C-101B-9397-08002B2CF9AE}" pid="6" name="MSIP_Label_74959cb2-1791-4379-ac27-73c7defdb1e7_SiteId">
    <vt:lpwstr>fb3baf17-c313-474c-8d5d-577a3ec97a32</vt:lpwstr>
  </property>
  <property fmtid="{D5CDD505-2E9C-101B-9397-08002B2CF9AE}" pid="7" name="MSIP_Label_74959cb2-1791-4379-ac27-73c7defdb1e7_ActionId">
    <vt:lpwstr>6699a4ea-da47-47e6-95ce-d199b1684c00</vt:lpwstr>
  </property>
  <property fmtid="{D5CDD505-2E9C-101B-9397-08002B2CF9AE}" pid="8" name="MSIP_Label_74959cb2-1791-4379-ac27-73c7defdb1e7_ContentBits">
    <vt:lpwstr>2</vt:lpwstr>
  </property>
  <property fmtid="{D5CDD505-2E9C-101B-9397-08002B2CF9AE}" pid="9" name="MSIP_Label_74959cb2-1791-4379-ac27-73c7defdb1e7_Tag">
    <vt:lpwstr>10, 3, 0, 1</vt:lpwstr>
  </property>
</Properties>
</file>